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YSELF\Downloads\"/>
    </mc:Choice>
  </mc:AlternateContent>
  <xr:revisionPtr revIDLastSave="0" documentId="13_ncr:1_{E5969ABD-0485-49B4-A74F-41192EEA76FA}" xr6:coauthVersionLast="47" xr6:coauthVersionMax="47" xr10:uidLastSave="{00000000-0000-0000-0000-000000000000}"/>
  <bookViews>
    <workbookView xWindow="-120" yWindow="480" windowWidth="29040" windowHeight="15840" tabRatio="822" activeTab="3" xr2:uid="{FBEE0547-C1DD-4B7A-A3EB-2BA1446463BC}"/>
  </bookViews>
  <sheets>
    <sheet name="01. Raw_Data" sheetId="10" r:id="rId1"/>
    <sheet name="02. Data_Cleaning_Process" sheetId="11" r:id="rId2"/>
    <sheet name="03. Cleaned_Data" sheetId="24" r:id="rId3"/>
    <sheet name="04. Dashboard" sheetId="26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24" l="1"/>
  <c r="G30" i="24"/>
  <c r="H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2" i="24"/>
</calcChain>
</file>

<file path=xl/sharedStrings.xml><?xml version="1.0" encoding="utf-8"?>
<sst xmlns="http://schemas.openxmlformats.org/spreadsheetml/2006/main" count="342" uniqueCount="131">
  <si>
    <t>Date</t>
  </si>
  <si>
    <t>ID</t>
  </si>
  <si>
    <t>Name</t>
  </si>
  <si>
    <t>Region</t>
  </si>
  <si>
    <t>Rating</t>
  </si>
  <si>
    <t>Product</t>
  </si>
  <si>
    <t>Quantity</t>
  </si>
  <si>
    <t>Price Per Unit</t>
  </si>
  <si>
    <t xml:space="preserve">John Smith   </t>
  </si>
  <si>
    <t>North</t>
  </si>
  <si>
    <t>Good</t>
  </si>
  <si>
    <t>Magic Wand</t>
  </si>
  <si>
    <t>Jane Doe</t>
  </si>
  <si>
    <t>East</t>
  </si>
  <si>
    <t>Excelent</t>
  </si>
  <si>
    <t>Unicorn Horn</t>
  </si>
  <si>
    <t>Mike   Tyson</t>
  </si>
  <si>
    <t>West</t>
  </si>
  <si>
    <t>Poor</t>
  </si>
  <si>
    <t>Boxing Gloves</t>
  </si>
  <si>
    <t>inf</t>
  </si>
  <si>
    <t>Anna   Belle</t>
  </si>
  <si>
    <t>South</t>
  </si>
  <si>
    <t>Average</t>
  </si>
  <si>
    <t>Fairy Dust</t>
  </si>
  <si>
    <t>Chris P. Bacon</t>
  </si>
  <si>
    <t>Bacon Scented Candle</t>
  </si>
  <si>
    <t>Peter   Parker</t>
  </si>
  <si>
    <t>Web Shooter</t>
  </si>
  <si>
    <t>Mary Jane</t>
  </si>
  <si>
    <t>Potent Potion</t>
  </si>
  <si>
    <t>Bruce Wayne</t>
  </si>
  <si>
    <t>Bat Signal</t>
  </si>
  <si>
    <t>Clark Kent</t>
  </si>
  <si>
    <t>Glasses with X-ray Vision</t>
  </si>
  <si>
    <t>Diana Prince</t>
  </si>
  <si>
    <t>Lasso of Truth</t>
  </si>
  <si>
    <t>Tony Stark</t>
  </si>
  <si>
    <t>Iron Man Suit</t>
  </si>
  <si>
    <t>Steve Rogers</t>
  </si>
  <si>
    <t>Captain America Shield</t>
  </si>
  <si>
    <t>Natasha Romanoff</t>
  </si>
  <si>
    <t>Black Widow's Bite</t>
  </si>
  <si>
    <t>Bruce Banner</t>
  </si>
  <si>
    <t>Gamma Radiation Serum</t>
  </si>
  <si>
    <t>Nick Fury</t>
  </si>
  <si>
    <t>Eye Patch</t>
  </si>
  <si>
    <t>Phil Coulson</t>
  </si>
  <si>
    <t>Agent ID Card</t>
  </si>
  <si>
    <t>Peggy Carter</t>
  </si>
  <si>
    <t>Vintage Pistol</t>
  </si>
  <si>
    <t>Howard Stark</t>
  </si>
  <si>
    <t>Arc Reactor</t>
  </si>
  <si>
    <t>Hank Pym</t>
  </si>
  <si>
    <t>Ant-Man Suit</t>
  </si>
  <si>
    <t>Janet van Dyne</t>
  </si>
  <si>
    <t>Wasp's Wings</t>
  </si>
  <si>
    <t>Kurt Busiek</t>
  </si>
  <si>
    <t>Comic Book</t>
  </si>
  <si>
    <t>George Perez</t>
  </si>
  <si>
    <t>Drawing Pad</t>
  </si>
  <si>
    <t>Roger Stern</t>
  </si>
  <si>
    <t>Notepads</t>
  </si>
  <si>
    <t>Tom DeFalco</t>
  </si>
  <si>
    <t>Pen Set</t>
  </si>
  <si>
    <t>Loki Laufeyson</t>
  </si>
  <si>
    <t>Asgard</t>
  </si>
  <si>
    <t>Mischief</t>
  </si>
  <si>
    <t>Trickster's Hat</t>
  </si>
  <si>
    <t>Thor Odinson</t>
  </si>
  <si>
    <t>Worthy</t>
  </si>
  <si>
    <t>Mjolnir</t>
  </si>
  <si>
    <t>Spy</t>
  </si>
  <si>
    <t>Spy Kit</t>
  </si>
  <si>
    <t>Leader</t>
  </si>
  <si>
    <t>Leadership Manual</t>
  </si>
  <si>
    <t>John Smith</t>
  </si>
  <si>
    <t>Mike Tyson</t>
  </si>
  <si>
    <t>Anna Belle</t>
  </si>
  <si>
    <t>Peter Parker</t>
  </si>
  <si>
    <t>TBA</t>
  </si>
  <si>
    <t>Excellent</t>
  </si>
  <si>
    <t>Total</t>
  </si>
  <si>
    <t>Sales</t>
  </si>
  <si>
    <t>Step</t>
  </si>
  <si>
    <t>Issue Identified</t>
  </si>
  <si>
    <t>Technique Used</t>
  </si>
  <si>
    <t>Business Impact</t>
  </si>
  <si>
    <t>Missing sequential values</t>
  </si>
  <si>
    <t>Auto Fill</t>
  </si>
  <si>
    <t>Ensured data continuity</t>
  </si>
  <si>
    <t>Duplicate records</t>
  </si>
  <si>
    <t>Remove Duplicates</t>
  </si>
  <si>
    <t>Prevented double-counting of transactions</t>
  </si>
  <si>
    <t>Leading/trailing spaces</t>
  </si>
  <si>
    <t>TRIM()</t>
  </si>
  <si>
    <t>Standardized text values</t>
  </si>
  <si>
    <t>Blank cells in key columns</t>
  </si>
  <si>
    <t>Filter &amp; Identify Blanks</t>
  </si>
  <si>
    <t>Improved data completeness</t>
  </si>
  <si>
    <t>Spelling inconsistencies</t>
  </si>
  <si>
    <t>Spell Check</t>
  </si>
  <si>
    <t>Reduced categorization errors</t>
  </si>
  <si>
    <t>Invalid data entries</t>
  </si>
  <si>
    <t>Data Validation Rules</t>
  </si>
  <si>
    <t>Prevented incorrect data input</t>
  </si>
  <si>
    <t>Unstructured range</t>
  </si>
  <si>
    <t>Converted to Excel Table</t>
  </si>
  <si>
    <t>Enabled structured referencing</t>
  </si>
  <si>
    <t>Formula errors</t>
  </si>
  <si>
    <t>IFERROR()</t>
  </si>
  <si>
    <t>Handled calculation exceptions</t>
  </si>
  <si>
    <t>Inconsistent number formats</t>
  </si>
  <si>
    <t>Number Formatting</t>
  </si>
  <si>
    <t>Standardized currency/date values</t>
  </si>
  <si>
    <t>Incorrect text patterns</t>
  </si>
  <si>
    <t>Find &amp; Replace</t>
  </si>
  <si>
    <t>Corrected recurring data issues</t>
  </si>
  <si>
    <t>DATA CLEANING PROCESS DOCUMENTATION</t>
  </si>
  <si>
    <t>Grand Total</t>
  </si>
  <si>
    <t>Total Sales</t>
  </si>
  <si>
    <t>Total Rows Before Cleaning: 32</t>
  </si>
  <si>
    <t>Total Rows After Cleaning: 28</t>
  </si>
  <si>
    <t>Blank Values Fixed: 3</t>
  </si>
  <si>
    <t>Summary</t>
  </si>
  <si>
    <t>Sales by Region</t>
  </si>
  <si>
    <t>Total Products by Quantity</t>
  </si>
  <si>
    <r>
      <rPr>
        <sz val="14"/>
        <color theme="1"/>
        <rFont val="Calibri"/>
        <family val="2"/>
      </rPr>
      <t>•</t>
    </r>
    <r>
      <rPr>
        <sz val="14"/>
        <color theme="1"/>
        <rFont val="Calibri"/>
        <family val="2"/>
        <scheme val="minor"/>
      </rPr>
      <t xml:space="preserve"> West region generated highest revenue contributing ₹5,950.20 of total sales.</t>
    </r>
  </si>
  <si>
    <r>
      <rPr>
        <b/>
        <sz val="14"/>
        <color theme="1"/>
        <rFont val="Calibri"/>
        <family val="2"/>
        <scheme val="minor"/>
      </rPr>
      <t>•</t>
    </r>
    <r>
      <rPr>
        <sz val="14"/>
        <color theme="1"/>
        <rFont val="Calibri"/>
        <family val="2"/>
        <scheme val="minor"/>
      </rPr>
      <t xml:space="preserve"> Leadership Manual was top-selling product by quantity.</t>
    </r>
  </si>
  <si>
    <r>
      <rPr>
        <b/>
        <sz val="14"/>
        <color theme="1"/>
        <rFont val="Calibri"/>
        <family val="2"/>
        <scheme val="minor"/>
      </rPr>
      <t xml:space="preserve">• </t>
    </r>
    <r>
      <rPr>
        <sz val="14"/>
        <color theme="1"/>
        <rFont val="Calibri"/>
        <family val="2"/>
        <scheme val="minor"/>
      </rPr>
      <t>4 duplicate records were removed during cleaning.</t>
    </r>
  </si>
  <si>
    <t>Duplicates Removed: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</si>
</sst>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top"/>
    </xf>
    <xf numFmtId="22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4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/>
    <xf numFmtId="0" fontId="5" fillId="0" borderId="1" xfId="0" applyFont="1" applyBorder="1" applyAlignment="1">
      <alignment vertical="center"/>
    </xf>
    <xf numFmtId="0" fontId="3" fillId="0" borderId="0" xfId="0" applyFont="1"/>
    <xf numFmtId="0" fontId="0" fillId="2" borderId="0" xfId="0" applyFill="1"/>
    <xf numFmtId="0" fontId="6" fillId="0" borderId="2" xfId="0" applyFont="1" applyBorder="1"/>
    <xf numFmtId="0" fontId="3" fillId="0" borderId="3" xfId="0" applyFont="1" applyBorder="1"/>
    <xf numFmtId="0" fontId="0" fillId="0" borderId="4" xfId="0" applyBorder="1"/>
    <xf numFmtId="0" fontId="4" fillId="0" borderId="1" xfId="0" applyFont="1" applyBorder="1" applyAlignment="1">
      <alignment horizontal="center" vertical="center"/>
    </xf>
    <xf numFmtId="0" fontId="8" fillId="0" borderId="0" xfId="0" pivotButton="1" applyFont="1"/>
    <xf numFmtId="0" fontId="8" fillId="0" borderId="0" xfId="0" applyFont="1"/>
    <xf numFmtId="0" fontId="8" fillId="0" borderId="0" xfId="0" applyFont="1" applyAlignment="1">
      <alignment horizontal="left"/>
    </xf>
    <xf numFmtId="4" fontId="8" fillId="0" borderId="0" xfId="0" applyNumberFormat="1" applyFont="1"/>
  </cellXfs>
  <cellStyles count="1">
    <cellStyle name="Normal" xfId="0" builtinId="0"/>
  </cellStyles>
  <dxfs count="79"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2"/>
      </font>
    </dxf>
    <dxf>
      <font>
        <sz val="1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1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rgb="FF9C0006"/>
      </font>
      <fill>
        <patternFill>
          <bgColor rgb="FFFFC7CE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CCFFFF"/>
      <color rgb="FF99FF66"/>
      <color rgb="FFCCFF66"/>
      <color rgb="FFCCFF99"/>
      <color rgb="FFFFCCCC"/>
      <color rgb="FFFDEFE9"/>
      <color rgb="FFF0F0C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Cleaning.xlsx]04. Dashboard!PivotTable1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'04. Dashboard'!$G$42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945-4842-8EED-C16A255DAF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945-4842-8EED-C16A255DAF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945-4842-8EED-C16A255DAF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945-4842-8EED-C16A255DAF2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945-4842-8EED-C16A255DAF2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945-4842-8EED-C16A255DAF2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'04. Dashboard'!$F$43:$F$49</c:f>
              <c:strCache>
                <c:ptCount val="6"/>
                <c:pt idx="0">
                  <c:v>Asgard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TBA</c:v>
                </c:pt>
                <c:pt idx="5">
                  <c:v>West</c:v>
                </c:pt>
              </c:strCache>
            </c:strRef>
          </c:cat>
          <c:val>
            <c:numRef>
              <c:f>'04. Dashboard'!$G$43:$G$49</c:f>
              <c:numCache>
                <c:formatCode>#,##0.00</c:formatCode>
                <c:ptCount val="6"/>
                <c:pt idx="0">
                  <c:v>4499.75</c:v>
                </c:pt>
                <c:pt idx="1">
                  <c:v>4400</c:v>
                </c:pt>
                <c:pt idx="2">
                  <c:v>2399.85</c:v>
                </c:pt>
                <c:pt idx="3">
                  <c:v>8049.9</c:v>
                </c:pt>
                <c:pt idx="4">
                  <c:v>1100.1000000000001</c:v>
                </c:pt>
                <c:pt idx="5">
                  <c:v>5950.2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5-45D8-9A8F-7579FD094CD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 Cleaning.xlsx]04. Dashboard!PivotTable2</c:name>
    <c:fmtId val="0"/>
  </c:pivotSource>
  <c:chart>
    <c:autoTitleDeleted val="1"/>
    <c:pivotFmts>
      <c:pivotFmt>
        <c:idx val="0"/>
        <c:spPr>
          <a:solidFill>
            <a:schemeClr val="accent4">
              <a:alpha val="88000"/>
            </a:schemeClr>
          </a:solidFill>
          <a:ln>
            <a:solidFill>
              <a:schemeClr val="accent4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4">
                <a:lumMod val="50000"/>
              </a:schemeClr>
            </a:contourClr>
          </a:sp3d>
        </c:spPr>
        <c:marker>
          <c:symbol val="circle"/>
          <c:size val="6"/>
          <c:spPr>
            <a:solidFill>
              <a:schemeClr val="accent4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00206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'04. Dashboard'!$C$42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dLbls>
            <c:spPr>
              <a:solidFill>
                <a:srgbClr val="002060">
                  <a:alpha val="30000"/>
                </a:srgbClr>
              </a:solidFill>
              <a:ln>
                <a:solidFill>
                  <a:sysClr val="window" lastClr="FFFFFF">
                    <a:alpha val="50000"/>
                  </a:sys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'04. Dashboard'!$B$43:$B$71</c:f>
              <c:strCache>
                <c:ptCount val="28"/>
                <c:pt idx="0">
                  <c:v>Agent ID Card</c:v>
                </c:pt>
                <c:pt idx="1">
                  <c:v>Ant-Man Suit</c:v>
                </c:pt>
                <c:pt idx="2">
                  <c:v>Arc Reactor</c:v>
                </c:pt>
                <c:pt idx="3">
                  <c:v>Bacon Scented Candle</c:v>
                </c:pt>
                <c:pt idx="4">
                  <c:v>Bat Signal</c:v>
                </c:pt>
                <c:pt idx="5">
                  <c:v>Black Widow's Bite</c:v>
                </c:pt>
                <c:pt idx="6">
                  <c:v>Boxing Gloves</c:v>
                </c:pt>
                <c:pt idx="7">
                  <c:v>Captain America Shield</c:v>
                </c:pt>
                <c:pt idx="8">
                  <c:v>Comic Book</c:v>
                </c:pt>
                <c:pt idx="9">
                  <c:v>Drawing Pad</c:v>
                </c:pt>
                <c:pt idx="10">
                  <c:v>Eye Patch</c:v>
                </c:pt>
                <c:pt idx="11">
                  <c:v>Fairy Dust</c:v>
                </c:pt>
                <c:pt idx="12">
                  <c:v>Gamma Radiation Serum</c:v>
                </c:pt>
                <c:pt idx="13">
                  <c:v>Glasses with X-ray Vision</c:v>
                </c:pt>
                <c:pt idx="14">
                  <c:v>Iron Man Suit</c:v>
                </c:pt>
                <c:pt idx="15">
                  <c:v>Lasso of Truth</c:v>
                </c:pt>
                <c:pt idx="16">
                  <c:v>Leadership Manual</c:v>
                </c:pt>
                <c:pt idx="17">
                  <c:v>Magic Wand</c:v>
                </c:pt>
                <c:pt idx="18">
                  <c:v>Mjolnir</c:v>
                </c:pt>
                <c:pt idx="19">
                  <c:v>Notepads</c:v>
                </c:pt>
                <c:pt idx="20">
                  <c:v>Pen Set</c:v>
                </c:pt>
                <c:pt idx="21">
                  <c:v>Potent Potion</c:v>
                </c:pt>
                <c:pt idx="22">
                  <c:v>Spy Kit</c:v>
                </c:pt>
                <c:pt idx="23">
                  <c:v>Trickster's Hat</c:v>
                </c:pt>
                <c:pt idx="24">
                  <c:v>Unicorn Horn</c:v>
                </c:pt>
                <c:pt idx="25">
                  <c:v>Vintage Pistol</c:v>
                </c:pt>
                <c:pt idx="26">
                  <c:v>Wasp's Wings</c:v>
                </c:pt>
                <c:pt idx="27">
                  <c:v>Web Shooter</c:v>
                </c:pt>
              </c:strCache>
            </c:strRef>
          </c:cat>
          <c:val>
            <c:numRef>
              <c:f>'04. Dashboard'!$C$43:$C$71</c:f>
              <c:numCache>
                <c:formatCode>#,##0.00</c:formatCode>
                <c:ptCount val="28"/>
                <c:pt idx="0">
                  <c:v>0</c:v>
                </c:pt>
                <c:pt idx="1">
                  <c:v>50</c:v>
                </c:pt>
                <c:pt idx="2">
                  <c:v>45</c:v>
                </c:pt>
                <c:pt idx="3">
                  <c:v>30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20</c:v>
                </c:pt>
                <c:pt idx="8">
                  <c:v>60</c:v>
                </c:pt>
                <c:pt idx="9">
                  <c:v>0</c:v>
                </c:pt>
                <c:pt idx="10">
                  <c:v>35</c:v>
                </c:pt>
                <c:pt idx="11">
                  <c:v>25</c:v>
                </c:pt>
                <c:pt idx="12">
                  <c:v>30</c:v>
                </c:pt>
                <c:pt idx="13">
                  <c:v>45</c:v>
                </c:pt>
                <c:pt idx="14">
                  <c:v>5</c:v>
                </c:pt>
                <c:pt idx="15">
                  <c:v>50</c:v>
                </c:pt>
                <c:pt idx="16">
                  <c:v>85</c:v>
                </c:pt>
                <c:pt idx="17">
                  <c:v>10</c:v>
                </c:pt>
                <c:pt idx="18">
                  <c:v>80</c:v>
                </c:pt>
                <c:pt idx="19">
                  <c:v>65</c:v>
                </c:pt>
                <c:pt idx="20">
                  <c:v>70</c:v>
                </c:pt>
                <c:pt idx="21">
                  <c:v>35</c:v>
                </c:pt>
                <c:pt idx="22">
                  <c:v>0</c:v>
                </c:pt>
                <c:pt idx="23">
                  <c:v>75</c:v>
                </c:pt>
                <c:pt idx="24">
                  <c:v>15</c:v>
                </c:pt>
                <c:pt idx="25">
                  <c:v>40</c:v>
                </c:pt>
                <c:pt idx="26">
                  <c:v>55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E4-473E-92A2-CBFFA18801B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84301592"/>
        <c:axId val="684302648"/>
        <c:axId val="0"/>
      </c:bar3DChart>
      <c:catAx>
        <c:axId val="684301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302648"/>
        <c:crosses val="autoZero"/>
        <c:auto val="1"/>
        <c:lblAlgn val="ctr"/>
        <c:lblOffset val="100"/>
        <c:noMultiLvlLbl val="0"/>
      </c:catAx>
      <c:valAx>
        <c:axId val="684302648"/>
        <c:scaling>
          <c:orientation val="minMax"/>
        </c:scaling>
        <c:delete val="1"/>
        <c:axPos val="b"/>
        <c:numFmt formatCode="#,##0.00" sourceLinked="1"/>
        <c:majorTickMark val="out"/>
        <c:minorTickMark val="none"/>
        <c:tickLblPos val="nextTo"/>
        <c:crossAx val="684301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>
        <c:manualLayout>
          <c:xMode val="edge"/>
          <c:yMode val="edge"/>
          <c:x val="2.4337637795275594E-2"/>
          <c:y val="8.5714157681427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'04. Dashboard'!$H$7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CCFFFF"/>
            </a:solidFill>
            <a:ln w="19050" cap="flat" cmpd="sng" algn="ctr">
              <a:solidFill>
                <a:srgbClr val="002060"/>
              </a:solidFill>
              <a:round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258A-4D1E-83C0-B0F11925C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'04. Dashboard'!$H$8</c:f>
              <c:numCache>
                <c:formatCode>General</c:formatCode>
                <c:ptCount val="1"/>
                <c:pt idx="0">
                  <c:v>26399.8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A-4D1E-83C0-B0F11925C7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3252816"/>
        <c:axId val="573247888"/>
      </c:barChart>
      <c:catAx>
        <c:axId val="573252816"/>
        <c:scaling>
          <c:orientation val="minMax"/>
        </c:scaling>
        <c:delete val="1"/>
        <c:axPos val="l"/>
        <c:majorTickMark val="none"/>
        <c:minorTickMark val="none"/>
        <c:tickLblPos val="nextTo"/>
        <c:crossAx val="573247888"/>
        <c:crosses val="autoZero"/>
        <c:auto val="1"/>
        <c:lblAlgn val="ctr"/>
        <c:lblOffset val="100"/>
        <c:noMultiLvlLbl val="0"/>
      </c:catAx>
      <c:valAx>
        <c:axId val="57324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25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1357454</xdr:colOff>
      <xdr:row>2</xdr:row>
      <xdr:rowOff>127769</xdr:rowOff>
    </xdr:from>
    <xdr:to>
      <xdr:col>6</xdr:col>
      <xdr:colOff>406976</xdr:colOff>
      <xdr:row>17</xdr:row>
      <xdr:rowOff>22128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9A311-35B2-A30B-5951-A0CA408303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1342062</xdr:colOff>
      <xdr:row>18</xdr:row>
      <xdr:rowOff>174046</xdr:rowOff>
    </xdr:from>
    <xdr:to>
      <xdr:col>6</xdr:col>
      <xdr:colOff>394758</xdr:colOff>
      <xdr:row>37</xdr:row>
      <xdr:rowOff>77737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BCCD2D-CA58-1E02-F003-E88D903FE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1186583</xdr:colOff>
      <xdr:row>3</xdr:row>
      <xdr:rowOff>5773</xdr:rowOff>
    </xdr:from>
    <xdr:to>
      <xdr:col>7</xdr:col>
      <xdr:colOff>2961409</xdr:colOff>
      <xdr:row>12</xdr:row>
      <xdr:rowOff>95731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A11FF3-FC48-8AB3-03B8-4227708B7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1545166</xdr:colOff>
      <xdr:row>0</xdr:row>
      <xdr:rowOff>0</xdr:rowOff>
    </xdr:from>
    <xdr:to>
      <xdr:col>1</xdr:col>
      <xdr:colOff>1238249</xdr:colOff>
      <xdr:row>0</xdr:row>
      <xdr:rowOff>1100666</xdr:rowOff>
    </xdr:to>
    <xdr:pic>
      <xdr:nvPicPr>
        <xdr:cNvPr id="8" name="Graphic 7" descr="Piggy Bank outline">
          <a:extLst>
            <a:ext uri="{FF2B5EF4-FFF2-40B4-BE49-F238E27FC236}">
              <a16:creationId xmlns:a16="http://schemas.microsoft.com/office/drawing/2014/main" id="{0D91BB5E-C80C-5BA5-9471-67EEB725A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545166" y="0"/>
          <a:ext cx="1280583" cy="1100666"/>
        </a:xfrm>
        <a:prstGeom prst="rect">
          <a:avLst/>
        </a:prstGeom>
      </xdr:spPr>
    </xdr:pic>
    <xdr:clientData/>
  </xdr:twoCellAnchor>
  <xdr:twoCellAnchor>
    <xdr:from>
      <xdr:col>1</xdr:col>
      <xdr:colOff>1418166</xdr:colOff>
      <xdr:row>0</xdr:row>
      <xdr:rowOff>116417</xdr:rowOff>
    </xdr:from>
    <xdr:to>
      <xdr:col>11</xdr:col>
      <xdr:colOff>497416</xdr:colOff>
      <xdr:row>0</xdr:row>
      <xdr:rowOff>952500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4F310E0-9D42-3A99-19B6-24564DDC2086}"/>
            </a:ext>
          </a:extLst>
        </xdr:cNvPr>
        <xdr:cNvSpPr/>
      </xdr:nvSpPr>
      <xdr:spPr>
        <a:xfrm>
          <a:off x="3005666" y="116417"/>
          <a:ext cx="7228417" cy="83608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800" b="1">
              <a:solidFill>
                <a:srgbClr val="002060"/>
              </a:solidFill>
            </a:rPr>
            <a:t>Sales Performance &amp; Regional Analysis Report</a:t>
          </a:r>
        </a:p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SELF" refreshedDate="46079.61868738426" createdVersion="8" refreshedVersion="8" minRefreshableVersion="3" recordCount="28" xr:uid="{94403C75-38B6-4AEE-BC86-CA46F2A4E948}">
  <cacheSource type="worksheet">
    <worksheetSource name="Table134678"/>
  </cacheSource>
  <cacheFields count="9">
    <cacheField name="Date" numFmtId="22">
      <sharedItems containsSemiMixedTypes="0" containsNonDate="0" containsDate="1" containsString="0" minDate="2021-01-31T00:00:00" maxDate="2023-05-01T00:00:00"/>
    </cacheField>
    <cacheField name="ID" numFmtId="0">
      <sharedItems containsSemiMixedTypes="0" containsString="0" containsNumber="1" containsInteger="1" minValue="1" maxValue="28"/>
    </cacheField>
    <cacheField name="Name" numFmtId="0">
      <sharedItems/>
    </cacheField>
    <cacheField name="Region" numFmtId="0">
      <sharedItems count="6">
        <s v="North"/>
        <s v="East"/>
        <s v="West"/>
        <s v="South"/>
        <s v="TBA"/>
        <s v="Asgard"/>
      </sharedItems>
    </cacheField>
    <cacheField name="Rating" numFmtId="0">
      <sharedItems/>
    </cacheField>
    <cacheField name="Product" numFmtId="0">
      <sharedItems count="28">
        <s v="Magic Wand"/>
        <s v="Unicorn Horn"/>
        <s v="Boxing Gloves"/>
        <s v="Fairy Dust"/>
        <s v="Bacon Scented Candle"/>
        <s v="Web Shooter"/>
        <s v="Potent Potion"/>
        <s v="Bat Signal"/>
        <s v="Glasses with X-ray Vision"/>
        <s v="Lasso of Truth"/>
        <s v="Iron Man Suit"/>
        <s v="Captain America Shield"/>
        <s v="Black Widow's Bite"/>
        <s v="Gamma Radiation Serum"/>
        <s v="Eye Patch"/>
        <s v="Agent ID Card"/>
        <s v="Vintage Pistol"/>
        <s v="Arc Reactor"/>
        <s v="Ant-Man Suit"/>
        <s v="Wasp's Wings"/>
        <s v="Comic Book"/>
        <s v="Drawing Pad"/>
        <s v="Notepads"/>
        <s v="Pen Set"/>
        <s v="Trickster's Hat"/>
        <s v="Mjolnir"/>
        <s v="Spy Kit"/>
        <s v="Leadership Manual"/>
      </sharedItems>
    </cacheField>
    <cacheField name="Quantity" numFmtId="4">
      <sharedItems containsSemiMixedTypes="0" containsString="0" containsNumber="1" containsInteger="1" minValue="0" maxValue="85"/>
    </cacheField>
    <cacheField name="Price Per Unit" numFmtId="4">
      <sharedItems containsString="0" containsBlank="1" containsNumber="1" minValue="10" maxValue="160"/>
    </cacheField>
    <cacheField name="Sales" numFmtId="4">
      <sharedItems containsSemiMixedTypes="0" containsString="0" containsNumber="1" minValue="0" maxValue="2499.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1-01-31T00:00:00"/>
    <n v="1"/>
    <s v="John Smith"/>
    <x v="0"/>
    <s v="Good"/>
    <x v="0"/>
    <n v="10"/>
    <n v="20"/>
    <n v="200"/>
  </r>
  <r>
    <d v="2021-02-28T00:00:00"/>
    <n v="2"/>
    <s v="Jane Doe"/>
    <x v="1"/>
    <s v="Excellent"/>
    <x v="1"/>
    <n v="15"/>
    <n v="10"/>
    <n v="150"/>
  </r>
  <r>
    <d v="2021-03-31T00:00:00"/>
    <n v="3"/>
    <s v="Mike Tyson"/>
    <x v="2"/>
    <s v="Poor"/>
    <x v="2"/>
    <n v="0"/>
    <m/>
    <n v="0"/>
  </r>
  <r>
    <d v="2021-04-30T00:00:00"/>
    <n v="4"/>
    <s v="Anna Belle"/>
    <x v="3"/>
    <s v="Average"/>
    <x v="3"/>
    <n v="25"/>
    <n v="10"/>
    <n v="250"/>
  </r>
  <r>
    <d v="2021-05-31T00:00:00"/>
    <n v="5"/>
    <s v="Chris P. Bacon"/>
    <x v="1"/>
    <s v="Good"/>
    <x v="4"/>
    <n v="30"/>
    <n v="16.670000000000002"/>
    <n v="500.1"/>
  </r>
  <r>
    <d v="2021-06-30T00:00:00"/>
    <n v="6"/>
    <s v="Peter Parker"/>
    <x v="4"/>
    <s v="Excellent"/>
    <x v="5"/>
    <n v="0"/>
    <m/>
    <n v="0"/>
  </r>
  <r>
    <d v="2021-07-31T00:00:00"/>
    <n v="7"/>
    <s v="Mary Jane"/>
    <x v="2"/>
    <s v="Poor"/>
    <x v="6"/>
    <n v="35"/>
    <n v="10"/>
    <n v="350"/>
  </r>
  <r>
    <d v="2021-08-31T00:00:00"/>
    <n v="8"/>
    <s v="Bruce Wayne"/>
    <x v="3"/>
    <s v="Average"/>
    <x v="7"/>
    <n v="40"/>
    <n v="15"/>
    <n v="600"/>
  </r>
  <r>
    <d v="2021-09-30T00:00:00"/>
    <n v="9"/>
    <s v="Clark Kent"/>
    <x v="1"/>
    <s v="Good"/>
    <x v="8"/>
    <n v="45"/>
    <n v="12.22"/>
    <n v="549.9"/>
  </r>
  <r>
    <d v="2021-10-31T00:00:00"/>
    <n v="10"/>
    <s v="Diana Prince"/>
    <x v="0"/>
    <s v="Excellent"/>
    <x v="9"/>
    <n v="50"/>
    <n v="14"/>
    <n v="700"/>
  </r>
  <r>
    <d v="2021-11-30T00:00:00"/>
    <n v="11"/>
    <s v="Tony Stark"/>
    <x v="2"/>
    <s v="Poor"/>
    <x v="10"/>
    <n v="5"/>
    <n v="160"/>
    <n v="800"/>
  </r>
  <r>
    <d v="2021-12-31T00:00:00"/>
    <n v="12"/>
    <s v="Steve Rogers"/>
    <x v="3"/>
    <s v="Average"/>
    <x v="11"/>
    <n v="20"/>
    <n v="45"/>
    <n v="900"/>
  </r>
  <r>
    <d v="2022-01-31T00:00:00"/>
    <n v="13"/>
    <s v="Natasha Romanoff"/>
    <x v="1"/>
    <s v="Good"/>
    <x v="12"/>
    <n v="0"/>
    <m/>
    <n v="0"/>
  </r>
  <r>
    <d v="2022-02-28T00:00:00"/>
    <n v="14"/>
    <s v="Bruce Banner"/>
    <x v="4"/>
    <s v="Excellent"/>
    <x v="13"/>
    <n v="30"/>
    <n v="36.67"/>
    <n v="1100.1000000000001"/>
  </r>
  <r>
    <d v="2022-03-31T00:00:00"/>
    <n v="15"/>
    <s v="Nick Fury"/>
    <x v="2"/>
    <s v="Poor"/>
    <x v="14"/>
    <n v="35"/>
    <n v="34.29"/>
    <n v="1200.1499999999999"/>
  </r>
  <r>
    <d v="2022-04-30T00:00:00"/>
    <n v="16"/>
    <s v="Phil Coulson"/>
    <x v="4"/>
    <s v="Average"/>
    <x v="15"/>
    <n v="0"/>
    <m/>
    <n v="0"/>
  </r>
  <r>
    <d v="2022-05-31T00:00:00"/>
    <n v="17"/>
    <s v="Peggy Carter"/>
    <x v="1"/>
    <s v="Good"/>
    <x v="16"/>
    <n v="40"/>
    <n v="35"/>
    <n v="1400"/>
  </r>
  <r>
    <d v="2022-06-30T00:00:00"/>
    <n v="18"/>
    <s v="Howard Stark"/>
    <x v="0"/>
    <s v="Excellent"/>
    <x v="17"/>
    <n v="45"/>
    <n v="33.33"/>
    <n v="1499.85"/>
  </r>
  <r>
    <d v="2022-07-31T00:00:00"/>
    <n v="19"/>
    <s v="Hank Pym"/>
    <x v="2"/>
    <s v="Poor"/>
    <x v="18"/>
    <n v="50"/>
    <n v="32"/>
    <n v="1600"/>
  </r>
  <r>
    <d v="2022-08-31T00:00:00"/>
    <n v="20"/>
    <s v="Janet van Dyne"/>
    <x v="3"/>
    <s v="Average"/>
    <x v="19"/>
    <n v="55"/>
    <n v="30.91"/>
    <n v="1700.05"/>
  </r>
  <r>
    <d v="2022-09-30T00:00:00"/>
    <n v="21"/>
    <s v="Kurt Busiek"/>
    <x v="1"/>
    <s v="Good"/>
    <x v="20"/>
    <n v="60"/>
    <n v="30"/>
    <n v="1800"/>
  </r>
  <r>
    <d v="2022-10-31T00:00:00"/>
    <n v="22"/>
    <s v="George Perez"/>
    <x v="0"/>
    <s v="Excellent"/>
    <x v="21"/>
    <n v="0"/>
    <m/>
    <n v="0"/>
  </r>
  <r>
    <d v="2022-11-30T00:00:00"/>
    <n v="23"/>
    <s v="Roger Stern"/>
    <x v="2"/>
    <s v="Poor"/>
    <x v="22"/>
    <n v="65"/>
    <n v="30.77"/>
    <n v="2000.05"/>
  </r>
  <r>
    <d v="2022-12-31T00:00:00"/>
    <n v="24"/>
    <s v="Tom DeFalco"/>
    <x v="3"/>
    <s v="Average"/>
    <x v="23"/>
    <n v="70"/>
    <n v="30"/>
    <n v="2100"/>
  </r>
  <r>
    <d v="2023-01-31T00:00:00"/>
    <n v="25"/>
    <s v="Loki Laufeyson"/>
    <x v="5"/>
    <s v="Mischief"/>
    <x v="24"/>
    <n v="75"/>
    <n v="29.33"/>
    <n v="2199.75"/>
  </r>
  <r>
    <d v="2023-02-28T00:00:00"/>
    <n v="26"/>
    <s v="Thor Odinson"/>
    <x v="5"/>
    <s v="Worthy"/>
    <x v="25"/>
    <n v="80"/>
    <n v="28.75"/>
    <n v="2300"/>
  </r>
  <r>
    <d v="2023-03-31T00:00:00"/>
    <n v="27"/>
    <s v="Natasha Romanoff"/>
    <x v="1"/>
    <s v="Spy"/>
    <x v="26"/>
    <n v="0"/>
    <m/>
    <n v="0"/>
  </r>
  <r>
    <d v="2023-04-30T00:00:00"/>
    <n v="28"/>
    <s v="Steve Rogers"/>
    <x v="3"/>
    <s v="Leader"/>
    <x v="27"/>
    <n v="85"/>
    <n v="29.41"/>
    <n v="2499.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236E5-5028-4958-815F-B5CD98024F6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roduct">
  <location ref="B42:C71" firstHeaderRow="1" firstDataRow="1" firstDataCol="1"/>
  <pivotFields count="9">
    <pivotField numFmtId="22" showAll="0"/>
    <pivotField showAll="0"/>
    <pivotField showAll="0"/>
    <pivotField showAll="0"/>
    <pivotField showAll="0"/>
    <pivotField axis="axisRow" showAll="0">
      <items count="29">
        <item x="15"/>
        <item x="18"/>
        <item x="17"/>
        <item x="4"/>
        <item x="7"/>
        <item x="12"/>
        <item x="2"/>
        <item x="11"/>
        <item x="20"/>
        <item x="21"/>
        <item x="14"/>
        <item x="3"/>
        <item x="13"/>
        <item x="8"/>
        <item x="10"/>
        <item x="9"/>
        <item x="27"/>
        <item x="0"/>
        <item x="25"/>
        <item x="22"/>
        <item x="23"/>
        <item x="6"/>
        <item x="26"/>
        <item x="24"/>
        <item x="1"/>
        <item x="16"/>
        <item x="19"/>
        <item x="5"/>
        <item t="default"/>
      </items>
    </pivotField>
    <pivotField dataField="1" numFmtId="4" showAll="0"/>
    <pivotField showAll="0"/>
    <pivotField numFmtId="4" showAll="0"/>
  </pivotFields>
  <rowFields count="1">
    <field x="5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Total Products by Quantity" fld="6" baseField="5" baseItem="0" numFmtId="4"/>
  </dataFields>
  <formats count="6">
    <format dxfId="12">
      <pivotArea type="all" dataOnly="0" outline="0" fieldPosition="0"/>
    </format>
    <format dxfId="5">
      <pivotArea outline="0" collapsedLevelsAreSubtotals="1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D0E30-002B-4EDB-8837-1B8B10E319F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Region">
  <location ref="F42:G49" firstHeaderRow="1" firstDataRow="1" firstDataCol="1"/>
  <pivotFields count="9">
    <pivotField numFmtId="22" showAll="0"/>
    <pivotField showAll="0"/>
    <pivotField showAll="0"/>
    <pivotField axis="axisRow" showAll="0">
      <items count="7">
        <item x="5"/>
        <item x="1"/>
        <item x="0"/>
        <item x="3"/>
        <item x="4"/>
        <item x="2"/>
        <item t="default"/>
      </items>
    </pivotField>
    <pivotField showAll="0"/>
    <pivotField showAll="0"/>
    <pivotField numFmtId="4" showAll="0"/>
    <pivotField showAll="0"/>
    <pivotField dataField="1" numFmtId="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s by Region" fld="8" baseField="3" baseItem="0" numFmtId="4"/>
  </dataFields>
  <formats count="6">
    <format dxfId="25">
      <pivotArea type="all" dataOnly="0" outline="0" fieldPosition="0"/>
    </format>
    <format dxfId="18">
      <pivotArea outline="0" collapsedLevelsAreSubtotals="1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B5D9A4-B57B-4A45-99D3-04826047E4A7}" name="Table13467" displayName="Table13467" ref="A1:I30" totalsRowCount="1" headerRowDxfId="78" dataDxfId="77">
  <autoFilter ref="A1:I29" xr:uid="{8FB5D9A4-B57B-4A45-99D3-04826047E4A7}"/>
  <tableColumns count="9">
    <tableColumn id="1" xr3:uid="{8CF7336E-BAE0-4E3C-8B27-938C2334251C}" name="Date" totalsRowLabel="Total" dataDxfId="76" totalsRowDxfId="75"/>
    <tableColumn id="2" xr3:uid="{441C7907-C87B-489C-A67F-5912F590BB98}" name="ID" dataDxfId="74" totalsRowDxfId="73"/>
    <tableColumn id="3" xr3:uid="{79F129E0-F073-4C99-B1F0-255B436E88A2}" name="Name" dataDxfId="72" totalsRowDxfId="71"/>
    <tableColumn id="4" xr3:uid="{3EF3B0EF-C5EA-4C2D-9345-B3A61C6D3C18}" name="Region" dataDxfId="70" totalsRowDxfId="69"/>
    <tableColumn id="5" xr3:uid="{BE49B11C-DF01-4CC0-8686-08061635398A}" name="Rating" dataDxfId="68" totalsRowDxfId="67"/>
    <tableColumn id="6" xr3:uid="{3C1852B0-6A3C-4925-A1C3-260FDCDEB88A}" name="Product" dataDxfId="66" totalsRowDxfId="65"/>
    <tableColumn id="7" xr3:uid="{27B7CE37-4FA1-4C5E-9DFF-99E88B8EF764}" name="Quantity" totalsRowFunction="sum" dataDxfId="64" totalsRowDxfId="63" dataCellStyle="Normal"/>
    <tableColumn id="8" xr3:uid="{2A251B86-183E-4F05-BBB5-E6A8C77627CD}" name="Price Per Unit" totalsRowFunction="min" dataDxfId="62" totalsRowDxfId="61" dataCellStyle="Normal"/>
    <tableColumn id="9" xr3:uid="{2AC4AA66-7FA3-43F6-8BF8-D56C45C9B510}" name="Sales" totalsRowFunction="count" dataDxfId="60" totalsRowDxfId="59" dataCellStyle="Normal">
      <calculatedColumnFormula>IFERROR(Table13467[[#This Row],[Quantity]]*Table13467[[#This Row],[Price Per Unit]],0)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A9445-17DE-4A17-9A0C-1D9F0D234EEC}">
  <dimension ref="A1:H32"/>
  <sheetViews>
    <sheetView zoomScaleNormal="100" workbookViewId="0">
      <selection activeCell="Q20" sqref="Q20"/>
    </sheetView>
  </sheetViews>
  <sheetFormatPr defaultRowHeight="15" x14ac:dyDescent="0.25"/>
  <cols>
    <col min="1" max="1" width="24.85546875" bestFit="1" customWidth="1"/>
    <col min="2" max="2" width="3" bestFit="1" customWidth="1"/>
    <col min="3" max="3" width="17.5703125" bestFit="1" customWidth="1"/>
    <col min="4" max="4" width="7.140625" bestFit="1" customWidth="1"/>
    <col min="5" max="5" width="8.5703125" bestFit="1" customWidth="1"/>
    <col min="6" max="6" width="23.42578125" bestFit="1" customWidth="1"/>
    <col min="7" max="7" width="8.7109375" bestFit="1" customWidth="1"/>
    <col min="8" max="8" width="1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9.9499999999999993" customHeight="1" x14ac:dyDescent="0.25">
      <c r="A2" s="2">
        <v>44227</v>
      </c>
      <c r="B2" s="3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10</v>
      </c>
      <c r="H2" s="4">
        <v>20</v>
      </c>
    </row>
    <row r="3" spans="1:8" ht="9.9499999999999993" customHeight="1" x14ac:dyDescent="0.25">
      <c r="A3" s="2">
        <v>44255</v>
      </c>
      <c r="B3" s="3">
        <v>2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15</v>
      </c>
      <c r="H3" s="4">
        <v>10</v>
      </c>
    </row>
    <row r="4" spans="1:8" ht="9.9499999999999993" customHeight="1" x14ac:dyDescent="0.25">
      <c r="A4" s="2">
        <v>44286</v>
      </c>
      <c r="B4" s="3">
        <v>3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0</v>
      </c>
      <c r="H4" s="3" t="s">
        <v>20</v>
      </c>
    </row>
    <row r="5" spans="1:8" ht="9.9499999999999993" customHeight="1" x14ac:dyDescent="0.25">
      <c r="A5" s="2">
        <v>44316</v>
      </c>
      <c r="B5" s="3">
        <v>4</v>
      </c>
      <c r="C5" s="3" t="s">
        <v>21</v>
      </c>
      <c r="D5" s="3" t="s">
        <v>22</v>
      </c>
      <c r="E5" s="3" t="s">
        <v>23</v>
      </c>
      <c r="F5" s="3" t="s">
        <v>24</v>
      </c>
      <c r="G5" s="3">
        <v>25</v>
      </c>
      <c r="H5" s="4">
        <v>10</v>
      </c>
    </row>
    <row r="6" spans="1:8" x14ac:dyDescent="0.25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3">
        <v>30</v>
      </c>
      <c r="H6" s="4">
        <v>16.670000000000002</v>
      </c>
    </row>
    <row r="7" spans="1:8" x14ac:dyDescent="0.25">
      <c r="A7" s="2">
        <v>44377</v>
      </c>
      <c r="B7" s="3">
        <v>6</v>
      </c>
      <c r="C7" s="3" t="s">
        <v>27</v>
      </c>
      <c r="D7" s="3"/>
      <c r="E7" s="3" t="s">
        <v>14</v>
      </c>
      <c r="F7" s="3" t="s">
        <v>28</v>
      </c>
      <c r="G7" s="3">
        <v>0</v>
      </c>
      <c r="H7" s="3" t="s">
        <v>20</v>
      </c>
    </row>
    <row r="8" spans="1:8" x14ac:dyDescent="0.25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3">
        <v>35</v>
      </c>
      <c r="H8" s="4">
        <v>10</v>
      </c>
    </row>
    <row r="9" spans="1:8" x14ac:dyDescent="0.25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3">
        <v>40</v>
      </c>
      <c r="H9" s="4">
        <v>15</v>
      </c>
    </row>
    <row r="10" spans="1:8" x14ac:dyDescent="0.25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3">
        <v>45</v>
      </c>
      <c r="H10" s="4">
        <v>12.22</v>
      </c>
    </row>
    <row r="11" spans="1:8" ht="9.9499999999999993" customHeight="1" x14ac:dyDescent="0.25">
      <c r="A11" s="2">
        <v>44500</v>
      </c>
      <c r="B11" s="3">
        <v>10</v>
      </c>
      <c r="C11" s="3" t="s">
        <v>35</v>
      </c>
      <c r="D11" s="3" t="s">
        <v>9</v>
      </c>
      <c r="E11" s="3" t="s">
        <v>14</v>
      </c>
      <c r="F11" s="3" t="s">
        <v>36</v>
      </c>
      <c r="G11" s="3">
        <v>50</v>
      </c>
      <c r="H11" s="4">
        <v>14</v>
      </c>
    </row>
    <row r="12" spans="1:8" ht="9.9499999999999993" customHeight="1" x14ac:dyDescent="0.25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3">
        <v>5</v>
      </c>
      <c r="H12" s="4">
        <v>160</v>
      </c>
    </row>
    <row r="13" spans="1:8" ht="9.9499999999999993" customHeight="1" x14ac:dyDescent="0.25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3">
        <v>20</v>
      </c>
      <c r="H13" s="4">
        <v>45</v>
      </c>
    </row>
    <row r="14" spans="1:8" ht="20.100000000000001" customHeight="1" x14ac:dyDescent="0.25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3">
        <v>0</v>
      </c>
      <c r="H14" s="3" t="s">
        <v>20</v>
      </c>
    </row>
    <row r="15" spans="1:8" ht="20.100000000000001" customHeight="1" x14ac:dyDescent="0.25">
      <c r="A15" s="2">
        <v>44620</v>
      </c>
      <c r="B15" s="3">
        <v>14</v>
      </c>
      <c r="C15" s="3" t="s">
        <v>43</v>
      </c>
      <c r="D15" s="3"/>
      <c r="E15" s="3" t="s">
        <v>14</v>
      </c>
      <c r="F15" s="3" t="s">
        <v>44</v>
      </c>
      <c r="G15" s="3">
        <v>30</v>
      </c>
      <c r="H15" s="4">
        <v>36.67</v>
      </c>
    </row>
    <row r="16" spans="1:8" ht="20.100000000000001" customHeight="1" x14ac:dyDescent="0.25">
      <c r="A16" s="2">
        <v>44316</v>
      </c>
      <c r="B16" s="3">
        <v>4</v>
      </c>
      <c r="C16" s="3" t="s">
        <v>21</v>
      </c>
      <c r="D16" s="3" t="s">
        <v>22</v>
      </c>
      <c r="E16" s="3" t="s">
        <v>23</v>
      </c>
      <c r="F16" s="3" t="s">
        <v>24</v>
      </c>
      <c r="G16" s="3">
        <v>25</v>
      </c>
      <c r="H16" s="4">
        <v>10</v>
      </c>
    </row>
    <row r="17" spans="1:8" ht="20.100000000000001" customHeight="1" x14ac:dyDescent="0.25">
      <c r="A17" s="2">
        <v>44347</v>
      </c>
      <c r="B17" s="3">
        <v>5</v>
      </c>
      <c r="C17" s="3" t="s">
        <v>25</v>
      </c>
      <c r="D17" s="3" t="s">
        <v>13</v>
      </c>
      <c r="E17" s="3" t="s">
        <v>10</v>
      </c>
      <c r="F17" s="3" t="s">
        <v>26</v>
      </c>
      <c r="G17" s="3">
        <v>30</v>
      </c>
      <c r="H17" s="4">
        <v>16.670000000000002</v>
      </c>
    </row>
    <row r="18" spans="1:8" ht="20.100000000000001" customHeight="1" x14ac:dyDescent="0.25">
      <c r="A18" s="2">
        <v>44377</v>
      </c>
      <c r="B18" s="3">
        <v>6</v>
      </c>
      <c r="C18" s="3" t="s">
        <v>27</v>
      </c>
      <c r="D18" s="3"/>
      <c r="E18" s="3" t="s">
        <v>14</v>
      </c>
      <c r="F18" s="3" t="s">
        <v>28</v>
      </c>
      <c r="G18" s="3">
        <v>0</v>
      </c>
      <c r="H18" s="3" t="s">
        <v>20</v>
      </c>
    </row>
    <row r="19" spans="1:8" ht="20.100000000000001" customHeight="1" x14ac:dyDescent="0.25">
      <c r="A19" s="2">
        <v>44651</v>
      </c>
      <c r="B19" s="3">
        <v>15</v>
      </c>
      <c r="C19" s="3" t="s">
        <v>45</v>
      </c>
      <c r="D19" s="3" t="s">
        <v>17</v>
      </c>
      <c r="E19" s="3" t="s">
        <v>18</v>
      </c>
      <c r="F19" s="3" t="s">
        <v>46</v>
      </c>
      <c r="G19" s="3">
        <v>35</v>
      </c>
      <c r="H19" s="4">
        <v>34.29</v>
      </c>
    </row>
    <row r="20" spans="1:8" ht="20.100000000000001" customHeight="1" x14ac:dyDescent="0.25">
      <c r="A20" s="2">
        <v>44681</v>
      </c>
      <c r="B20" s="3">
        <v>16</v>
      </c>
      <c r="C20" s="3" t="s">
        <v>47</v>
      </c>
      <c r="D20" s="3"/>
      <c r="E20" s="3" t="s">
        <v>23</v>
      </c>
      <c r="F20" s="3" t="s">
        <v>48</v>
      </c>
      <c r="G20" s="3">
        <v>0</v>
      </c>
      <c r="H20" s="3" t="s">
        <v>20</v>
      </c>
    </row>
    <row r="21" spans="1:8" ht="20.100000000000001" customHeight="1" x14ac:dyDescent="0.25">
      <c r="A21" s="2">
        <v>44712</v>
      </c>
      <c r="B21" s="3">
        <v>17</v>
      </c>
      <c r="C21" s="3" t="s">
        <v>49</v>
      </c>
      <c r="D21" s="3" t="s">
        <v>13</v>
      </c>
      <c r="E21" s="3" t="s">
        <v>10</v>
      </c>
      <c r="F21" s="3" t="s">
        <v>50</v>
      </c>
      <c r="G21" s="3">
        <v>40</v>
      </c>
      <c r="H21" s="4">
        <v>35</v>
      </c>
    </row>
    <row r="22" spans="1:8" ht="20.100000000000001" customHeight="1" x14ac:dyDescent="0.25">
      <c r="A22" s="2">
        <v>44742</v>
      </c>
      <c r="B22" s="3">
        <v>18</v>
      </c>
      <c r="C22" s="3" t="s">
        <v>51</v>
      </c>
      <c r="D22" s="3" t="s">
        <v>9</v>
      </c>
      <c r="E22" s="3" t="s">
        <v>14</v>
      </c>
      <c r="F22" s="3" t="s">
        <v>52</v>
      </c>
      <c r="G22" s="3">
        <v>45</v>
      </c>
      <c r="H22" s="4">
        <v>33.33</v>
      </c>
    </row>
    <row r="23" spans="1:8" ht="20.100000000000001" customHeight="1" x14ac:dyDescent="0.25">
      <c r="A23" s="2">
        <v>44773</v>
      </c>
      <c r="B23" s="3">
        <v>19</v>
      </c>
      <c r="C23" s="3" t="s">
        <v>53</v>
      </c>
      <c r="D23" s="3" t="s">
        <v>17</v>
      </c>
      <c r="E23" s="3" t="s">
        <v>18</v>
      </c>
      <c r="F23" s="3" t="s">
        <v>54</v>
      </c>
      <c r="G23" s="3">
        <v>50</v>
      </c>
      <c r="H23" s="4">
        <v>32</v>
      </c>
    </row>
    <row r="24" spans="1:8" ht="20.100000000000001" customHeight="1" x14ac:dyDescent="0.25">
      <c r="A24" s="2">
        <v>44804</v>
      </c>
      <c r="B24" s="3">
        <v>20</v>
      </c>
      <c r="C24" s="3" t="s">
        <v>55</v>
      </c>
      <c r="D24" s="3" t="s">
        <v>22</v>
      </c>
      <c r="E24" s="3" t="s">
        <v>23</v>
      </c>
      <c r="F24" s="3" t="s">
        <v>56</v>
      </c>
      <c r="G24" s="3">
        <v>55</v>
      </c>
      <c r="H24" s="4">
        <v>30.91</v>
      </c>
    </row>
    <row r="25" spans="1:8" ht="20.100000000000001" customHeight="1" x14ac:dyDescent="0.25">
      <c r="A25" s="2">
        <v>44834</v>
      </c>
      <c r="B25" s="3">
        <v>21</v>
      </c>
      <c r="C25" s="3" t="s">
        <v>57</v>
      </c>
      <c r="D25" s="3" t="s">
        <v>13</v>
      </c>
      <c r="E25" s="3" t="s">
        <v>10</v>
      </c>
      <c r="F25" s="3" t="s">
        <v>58</v>
      </c>
      <c r="G25" s="3">
        <v>60</v>
      </c>
      <c r="H25" s="4">
        <v>30</v>
      </c>
    </row>
    <row r="26" spans="1:8" ht="20.100000000000001" customHeight="1" x14ac:dyDescent="0.25">
      <c r="A26" s="2">
        <v>44865</v>
      </c>
      <c r="B26" s="3">
        <v>22</v>
      </c>
      <c r="C26" s="3" t="s">
        <v>59</v>
      </c>
      <c r="D26" s="3" t="s">
        <v>9</v>
      </c>
      <c r="E26" s="3" t="s">
        <v>14</v>
      </c>
      <c r="F26" s="3" t="s">
        <v>60</v>
      </c>
      <c r="G26" s="3">
        <v>0</v>
      </c>
      <c r="H26" s="3" t="s">
        <v>20</v>
      </c>
    </row>
    <row r="27" spans="1:8" ht="20.100000000000001" customHeight="1" x14ac:dyDescent="0.25">
      <c r="A27" s="2">
        <v>44895</v>
      </c>
      <c r="B27" s="3">
        <v>23</v>
      </c>
      <c r="C27" s="3" t="s">
        <v>61</v>
      </c>
      <c r="D27" s="3" t="s">
        <v>17</v>
      </c>
      <c r="E27" s="3" t="s">
        <v>18</v>
      </c>
      <c r="F27" s="3" t="s">
        <v>62</v>
      </c>
      <c r="G27" s="3">
        <v>65</v>
      </c>
      <c r="H27" s="4">
        <v>30.77</v>
      </c>
    </row>
    <row r="28" spans="1:8" ht="20.100000000000001" customHeight="1" x14ac:dyDescent="0.25">
      <c r="A28" s="2">
        <v>44926</v>
      </c>
      <c r="B28" s="3">
        <v>24</v>
      </c>
      <c r="C28" s="3" t="s">
        <v>63</v>
      </c>
      <c r="D28" s="3" t="s">
        <v>22</v>
      </c>
      <c r="E28" s="3" t="s">
        <v>23</v>
      </c>
      <c r="F28" s="3" t="s">
        <v>64</v>
      </c>
      <c r="G28" s="3">
        <v>70</v>
      </c>
      <c r="H28" s="4">
        <v>30</v>
      </c>
    </row>
    <row r="29" spans="1:8" ht="20.100000000000001" customHeight="1" x14ac:dyDescent="0.25">
      <c r="A29" s="2">
        <v>44957</v>
      </c>
      <c r="B29" s="3">
        <v>25</v>
      </c>
      <c r="C29" s="3" t="s">
        <v>65</v>
      </c>
      <c r="D29" s="3" t="s">
        <v>66</v>
      </c>
      <c r="E29" s="3" t="s">
        <v>67</v>
      </c>
      <c r="F29" s="3" t="s">
        <v>68</v>
      </c>
      <c r="G29" s="3">
        <v>75</v>
      </c>
      <c r="H29" s="4">
        <v>29.33</v>
      </c>
    </row>
    <row r="30" spans="1:8" ht="20.100000000000001" customHeight="1" x14ac:dyDescent="0.25">
      <c r="A30" s="2">
        <v>44985</v>
      </c>
      <c r="B30" s="3">
        <v>26</v>
      </c>
      <c r="C30" s="3" t="s">
        <v>69</v>
      </c>
      <c r="D30" s="3" t="s">
        <v>66</v>
      </c>
      <c r="E30" s="3" t="s">
        <v>70</v>
      </c>
      <c r="F30" s="3" t="s">
        <v>71</v>
      </c>
      <c r="G30" s="3">
        <v>80</v>
      </c>
      <c r="H30" s="4">
        <v>28.75</v>
      </c>
    </row>
    <row r="31" spans="1:8" ht="20.100000000000001" customHeight="1" x14ac:dyDescent="0.25">
      <c r="A31" s="2">
        <v>45016</v>
      </c>
      <c r="B31" s="3">
        <v>27</v>
      </c>
      <c r="C31" s="3" t="s">
        <v>41</v>
      </c>
      <c r="D31" s="3" t="s">
        <v>13</v>
      </c>
      <c r="E31" s="3" t="s">
        <v>72</v>
      </c>
      <c r="F31" s="3" t="s">
        <v>73</v>
      </c>
      <c r="G31" s="3">
        <v>0</v>
      </c>
      <c r="H31" s="3" t="s">
        <v>20</v>
      </c>
    </row>
    <row r="32" spans="1:8" ht="20.100000000000001" customHeight="1" x14ac:dyDescent="0.25">
      <c r="A32" s="2">
        <v>45046</v>
      </c>
      <c r="B32" s="3">
        <v>28</v>
      </c>
      <c r="C32" s="3" t="s">
        <v>39</v>
      </c>
      <c r="D32" s="3" t="s">
        <v>22</v>
      </c>
      <c r="E32" s="3" t="s">
        <v>74</v>
      </c>
      <c r="F32" s="3" t="s">
        <v>75</v>
      </c>
      <c r="G32" s="3">
        <v>85</v>
      </c>
      <c r="H32" s="4">
        <v>29.41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2251-3219-4774-B4E1-9A4BE0A0490E}">
  <dimension ref="A1:D19"/>
  <sheetViews>
    <sheetView showGridLines="0" zoomScale="120" zoomScaleNormal="120" workbookViewId="0">
      <selection activeCell="H43" sqref="H43"/>
    </sheetView>
  </sheetViews>
  <sheetFormatPr defaultColWidth="9" defaultRowHeight="15" x14ac:dyDescent="0.25"/>
  <cols>
    <col min="1" max="1" width="5.42578125" bestFit="1" customWidth="1"/>
    <col min="2" max="2" width="28.85546875" bestFit="1" customWidth="1"/>
    <col min="3" max="3" width="23.28515625" bestFit="1" customWidth="1"/>
    <col min="4" max="4" width="39.85546875" bestFit="1" customWidth="1"/>
    <col min="5" max="5" width="8.5703125" bestFit="1" customWidth="1"/>
    <col min="6" max="6" width="16.5703125" bestFit="1" customWidth="1"/>
    <col min="7" max="7" width="5.140625" bestFit="1" customWidth="1"/>
    <col min="8" max="8" width="17.7109375" bestFit="1" customWidth="1"/>
    <col min="9" max="9" width="9.42578125" bestFit="1" customWidth="1"/>
    <col min="10" max="10" width="9.140625" bestFit="1" customWidth="1"/>
    <col min="11" max="11" width="23.42578125" bestFit="1" customWidth="1"/>
    <col min="12" max="12" width="11" bestFit="1" customWidth="1"/>
    <col min="13" max="13" width="15.5703125" bestFit="1" customWidth="1"/>
    <col min="14" max="14" width="8.5703125" bestFit="1" customWidth="1"/>
  </cols>
  <sheetData>
    <row r="1" spans="1:4" ht="20.100000000000001" customHeight="1" x14ac:dyDescent="0.25">
      <c r="A1" s="16" t="s">
        <v>118</v>
      </c>
      <c r="B1" s="16"/>
      <c r="C1" s="16"/>
      <c r="D1" s="16"/>
    </row>
    <row r="2" spans="1:4" ht="20.100000000000001" customHeight="1" x14ac:dyDescent="0.25">
      <c r="A2" s="10" t="s">
        <v>84</v>
      </c>
      <c r="B2" s="10" t="s">
        <v>85</v>
      </c>
      <c r="C2" s="10" t="s">
        <v>86</v>
      </c>
      <c r="D2" s="10" t="s">
        <v>87</v>
      </c>
    </row>
    <row r="3" spans="1:4" ht="20.100000000000001" customHeight="1" x14ac:dyDescent="0.25">
      <c r="A3" s="7">
        <v>1</v>
      </c>
      <c r="B3" s="7" t="s">
        <v>88</v>
      </c>
      <c r="C3" s="7" t="s">
        <v>89</v>
      </c>
      <c r="D3" s="7" t="s">
        <v>90</v>
      </c>
    </row>
    <row r="4" spans="1:4" ht="20.100000000000001" customHeight="1" x14ac:dyDescent="0.25">
      <c r="A4" s="7">
        <v>2</v>
      </c>
      <c r="B4" s="7" t="s">
        <v>91</v>
      </c>
      <c r="C4" s="7" t="s">
        <v>92</v>
      </c>
      <c r="D4" s="7" t="s">
        <v>93</v>
      </c>
    </row>
    <row r="5" spans="1:4" ht="20.100000000000001" customHeight="1" x14ac:dyDescent="0.25">
      <c r="A5" s="7">
        <v>3</v>
      </c>
      <c r="B5" s="7" t="s">
        <v>94</v>
      </c>
      <c r="C5" s="7" t="s">
        <v>95</v>
      </c>
      <c r="D5" s="7" t="s">
        <v>96</v>
      </c>
    </row>
    <row r="6" spans="1:4" ht="20.100000000000001" customHeight="1" x14ac:dyDescent="0.25">
      <c r="A6" s="7">
        <v>4</v>
      </c>
      <c r="B6" s="7" t="s">
        <v>97</v>
      </c>
      <c r="C6" s="7" t="s">
        <v>98</v>
      </c>
      <c r="D6" s="7" t="s">
        <v>99</v>
      </c>
    </row>
    <row r="7" spans="1:4" ht="20.100000000000001" customHeight="1" x14ac:dyDescent="0.25">
      <c r="A7" s="7">
        <v>5</v>
      </c>
      <c r="B7" s="7" t="s">
        <v>100</v>
      </c>
      <c r="C7" s="7" t="s">
        <v>101</v>
      </c>
      <c r="D7" s="7" t="s">
        <v>102</v>
      </c>
    </row>
    <row r="8" spans="1:4" ht="20.100000000000001" customHeight="1" x14ac:dyDescent="0.25">
      <c r="A8" s="7">
        <v>6</v>
      </c>
      <c r="B8" s="7" t="s">
        <v>103</v>
      </c>
      <c r="C8" s="7" t="s">
        <v>104</v>
      </c>
      <c r="D8" s="7" t="s">
        <v>105</v>
      </c>
    </row>
    <row r="9" spans="1:4" ht="20.100000000000001" customHeight="1" x14ac:dyDescent="0.25">
      <c r="A9" s="7">
        <v>7</v>
      </c>
      <c r="B9" s="7" t="s">
        <v>106</v>
      </c>
      <c r="C9" s="7" t="s">
        <v>107</v>
      </c>
      <c r="D9" s="7" t="s">
        <v>108</v>
      </c>
    </row>
    <row r="10" spans="1:4" ht="20.100000000000001" customHeight="1" x14ac:dyDescent="0.25">
      <c r="A10" s="7">
        <v>8</v>
      </c>
      <c r="B10" s="7" t="s">
        <v>109</v>
      </c>
      <c r="C10" s="7" t="s">
        <v>110</v>
      </c>
      <c r="D10" s="7" t="s">
        <v>111</v>
      </c>
    </row>
    <row r="11" spans="1:4" ht="20.100000000000001" customHeight="1" x14ac:dyDescent="0.25">
      <c r="A11" s="7">
        <v>9</v>
      </c>
      <c r="B11" s="7" t="s">
        <v>112</v>
      </c>
      <c r="C11" s="7" t="s">
        <v>113</v>
      </c>
      <c r="D11" s="7" t="s">
        <v>114</v>
      </c>
    </row>
    <row r="12" spans="1:4" ht="20.100000000000001" customHeight="1" x14ac:dyDescent="0.25">
      <c r="A12" s="7">
        <v>10</v>
      </c>
      <c r="B12" s="7" t="s">
        <v>115</v>
      </c>
      <c r="C12" s="7" t="s">
        <v>116</v>
      </c>
      <c r="D12" s="7" t="s">
        <v>117</v>
      </c>
    </row>
    <row r="15" spans="1:4" ht="15.75" x14ac:dyDescent="0.25">
      <c r="B15" s="10" t="s">
        <v>124</v>
      </c>
    </row>
    <row r="16" spans="1:4" x14ac:dyDescent="0.25">
      <c r="B16" s="9" t="s">
        <v>121</v>
      </c>
    </row>
    <row r="17" spans="2:2" x14ac:dyDescent="0.25">
      <c r="B17" s="9" t="s">
        <v>122</v>
      </c>
    </row>
    <row r="18" spans="2:2" x14ac:dyDescent="0.25">
      <c r="B18" s="9" t="s">
        <v>130</v>
      </c>
    </row>
    <row r="19" spans="2:2" x14ac:dyDescent="0.25">
      <c r="B19" s="9" t="s">
        <v>123</v>
      </c>
    </row>
  </sheetData>
  <mergeCells count="1">
    <mergeCell ref="A1:D1"/>
  </mergeCells>
  <pageMargins left="0.7" right="0.7" top="0.75" bottom="0.75" header="0.3" footer="0.3"/>
  <pageSetup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530C6-9C55-49D3-BF14-6F30A6D2D0EC}">
  <dimension ref="A1:I30"/>
  <sheetViews>
    <sheetView zoomScale="120" zoomScaleNormal="120" workbookViewId="0">
      <pane ySplit="1" topLeftCell="A2" activePane="bottomLeft" state="frozen"/>
      <selection pane="bottomLeft" activeCell="R26" sqref="R26"/>
    </sheetView>
  </sheetViews>
  <sheetFormatPr defaultRowHeight="15" x14ac:dyDescent="0.25"/>
  <cols>
    <col min="1" max="1" width="16.5703125" bestFit="1" customWidth="1"/>
    <col min="2" max="2" width="5.140625" bestFit="1" customWidth="1"/>
    <col min="3" max="3" width="17.7109375" bestFit="1" customWidth="1"/>
    <col min="4" max="4" width="9.42578125" bestFit="1" customWidth="1"/>
    <col min="6" max="6" width="23.42578125" bestFit="1" customWidth="1"/>
    <col min="7" max="7" width="11" bestFit="1" customWidth="1"/>
    <col min="8" max="8" width="15.5703125" bestFit="1" customWidth="1"/>
    <col min="9" max="9" width="9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83</v>
      </c>
    </row>
    <row r="2" spans="1:9" x14ac:dyDescent="0.25">
      <c r="A2" s="2">
        <v>44227</v>
      </c>
      <c r="B2" s="3">
        <v>1</v>
      </c>
      <c r="C2" s="3" t="s">
        <v>76</v>
      </c>
      <c r="D2" s="3" t="s">
        <v>9</v>
      </c>
      <c r="E2" s="3" t="s">
        <v>10</v>
      </c>
      <c r="F2" s="3" t="s">
        <v>11</v>
      </c>
      <c r="G2" s="6">
        <v>10</v>
      </c>
      <c r="H2" s="6">
        <v>20</v>
      </c>
      <c r="I2" s="6">
        <f>IFERROR(Table13467[[#This Row],[Quantity]]*Table13467[[#This Row],[Price Per Unit]],0)</f>
        <v>200</v>
      </c>
    </row>
    <row r="3" spans="1:9" x14ac:dyDescent="0.25">
      <c r="A3" s="2">
        <v>44255</v>
      </c>
      <c r="B3" s="3">
        <v>2</v>
      </c>
      <c r="C3" s="3" t="s">
        <v>12</v>
      </c>
      <c r="D3" s="3" t="s">
        <v>13</v>
      </c>
      <c r="E3" s="3" t="s">
        <v>81</v>
      </c>
      <c r="F3" s="3" t="s">
        <v>15</v>
      </c>
      <c r="G3" s="6">
        <v>15</v>
      </c>
      <c r="H3" s="6">
        <v>10</v>
      </c>
      <c r="I3" s="6">
        <f>IFERROR(Table13467[[#This Row],[Quantity]]*Table13467[[#This Row],[Price Per Unit]],0)</f>
        <v>150</v>
      </c>
    </row>
    <row r="4" spans="1:9" x14ac:dyDescent="0.25">
      <c r="A4" s="2">
        <v>44286</v>
      </c>
      <c r="B4" s="3">
        <v>3</v>
      </c>
      <c r="C4" s="3" t="s">
        <v>77</v>
      </c>
      <c r="D4" s="3" t="s">
        <v>17</v>
      </c>
      <c r="E4" s="3" t="s">
        <v>18</v>
      </c>
      <c r="F4" s="3" t="s">
        <v>19</v>
      </c>
      <c r="G4" s="6">
        <v>0</v>
      </c>
      <c r="H4" s="6"/>
      <c r="I4" s="6">
        <f>IFERROR(Table13467[[#This Row],[Quantity]]*Table13467[[#This Row],[Price Per Unit]],0)</f>
        <v>0</v>
      </c>
    </row>
    <row r="5" spans="1:9" x14ac:dyDescent="0.25">
      <c r="A5" s="2">
        <v>44316</v>
      </c>
      <c r="B5" s="3">
        <v>4</v>
      </c>
      <c r="C5" s="3" t="s">
        <v>78</v>
      </c>
      <c r="D5" s="3" t="s">
        <v>22</v>
      </c>
      <c r="E5" s="3" t="s">
        <v>23</v>
      </c>
      <c r="F5" s="3" t="s">
        <v>24</v>
      </c>
      <c r="G5" s="6">
        <v>25</v>
      </c>
      <c r="H5" s="6">
        <v>10</v>
      </c>
      <c r="I5" s="6">
        <f>IFERROR(Table13467[[#This Row],[Quantity]]*Table13467[[#This Row],[Price Per Unit]],0)</f>
        <v>250</v>
      </c>
    </row>
    <row r="6" spans="1:9" x14ac:dyDescent="0.25">
      <c r="A6" s="2">
        <v>44347</v>
      </c>
      <c r="B6" s="3">
        <v>5</v>
      </c>
      <c r="C6" s="3" t="s">
        <v>25</v>
      </c>
      <c r="D6" s="3" t="s">
        <v>13</v>
      </c>
      <c r="E6" s="3" t="s">
        <v>10</v>
      </c>
      <c r="F6" s="3" t="s">
        <v>26</v>
      </c>
      <c r="G6" s="6">
        <v>30</v>
      </c>
      <c r="H6" s="6">
        <v>16.670000000000002</v>
      </c>
      <c r="I6" s="6">
        <f>IFERROR(Table13467[[#This Row],[Quantity]]*Table13467[[#This Row],[Price Per Unit]],0)</f>
        <v>500.1</v>
      </c>
    </row>
    <row r="7" spans="1:9" x14ac:dyDescent="0.25">
      <c r="A7" s="2">
        <v>44377</v>
      </c>
      <c r="B7" s="3">
        <v>6</v>
      </c>
      <c r="C7" s="3" t="s">
        <v>79</v>
      </c>
      <c r="D7" s="3" t="s">
        <v>80</v>
      </c>
      <c r="E7" s="3" t="s">
        <v>81</v>
      </c>
      <c r="F7" s="3" t="s">
        <v>28</v>
      </c>
      <c r="G7" s="6">
        <v>0</v>
      </c>
      <c r="H7" s="6"/>
      <c r="I7" s="6">
        <f>IFERROR(Table13467[[#This Row],[Quantity]]*Table13467[[#This Row],[Price Per Unit]],0)</f>
        <v>0</v>
      </c>
    </row>
    <row r="8" spans="1:9" x14ac:dyDescent="0.25">
      <c r="A8" s="2">
        <v>44408</v>
      </c>
      <c r="B8" s="3">
        <v>7</v>
      </c>
      <c r="C8" s="3" t="s">
        <v>29</v>
      </c>
      <c r="D8" s="3" t="s">
        <v>17</v>
      </c>
      <c r="E8" s="3" t="s">
        <v>18</v>
      </c>
      <c r="F8" s="3" t="s">
        <v>30</v>
      </c>
      <c r="G8" s="6">
        <v>35</v>
      </c>
      <c r="H8" s="6">
        <v>10</v>
      </c>
      <c r="I8" s="6">
        <f>IFERROR(Table13467[[#This Row],[Quantity]]*Table13467[[#This Row],[Price Per Unit]],0)</f>
        <v>350</v>
      </c>
    </row>
    <row r="9" spans="1:9" x14ac:dyDescent="0.25">
      <c r="A9" s="2">
        <v>44439</v>
      </c>
      <c r="B9" s="3">
        <v>8</v>
      </c>
      <c r="C9" s="3" t="s">
        <v>31</v>
      </c>
      <c r="D9" s="3" t="s">
        <v>22</v>
      </c>
      <c r="E9" s="3" t="s">
        <v>23</v>
      </c>
      <c r="F9" s="3" t="s">
        <v>32</v>
      </c>
      <c r="G9" s="6">
        <v>40</v>
      </c>
      <c r="H9" s="6">
        <v>15</v>
      </c>
      <c r="I9" s="6">
        <f>IFERROR(Table13467[[#This Row],[Quantity]]*Table13467[[#This Row],[Price Per Unit]],0)</f>
        <v>600</v>
      </c>
    </row>
    <row r="10" spans="1:9" x14ac:dyDescent="0.25">
      <c r="A10" s="2">
        <v>44469</v>
      </c>
      <c r="B10" s="3">
        <v>9</v>
      </c>
      <c r="C10" s="3" t="s">
        <v>33</v>
      </c>
      <c r="D10" s="3" t="s">
        <v>13</v>
      </c>
      <c r="E10" s="3" t="s">
        <v>10</v>
      </c>
      <c r="F10" s="3" t="s">
        <v>34</v>
      </c>
      <c r="G10" s="6">
        <v>45</v>
      </c>
      <c r="H10" s="6">
        <v>12.22</v>
      </c>
      <c r="I10" s="6">
        <f>IFERROR(Table13467[[#This Row],[Quantity]]*Table13467[[#This Row],[Price Per Unit]],0)</f>
        <v>549.9</v>
      </c>
    </row>
    <row r="11" spans="1:9" x14ac:dyDescent="0.25">
      <c r="A11" s="2">
        <v>44500</v>
      </c>
      <c r="B11" s="3">
        <v>10</v>
      </c>
      <c r="C11" s="3" t="s">
        <v>35</v>
      </c>
      <c r="D11" s="3" t="s">
        <v>9</v>
      </c>
      <c r="E11" s="3" t="s">
        <v>81</v>
      </c>
      <c r="F11" s="3" t="s">
        <v>36</v>
      </c>
      <c r="G11" s="6">
        <v>50</v>
      </c>
      <c r="H11" s="6">
        <v>14</v>
      </c>
      <c r="I11" s="6">
        <f>IFERROR(Table13467[[#This Row],[Quantity]]*Table13467[[#This Row],[Price Per Unit]],0)</f>
        <v>700</v>
      </c>
    </row>
    <row r="12" spans="1:9" x14ac:dyDescent="0.25">
      <c r="A12" s="2">
        <v>44530</v>
      </c>
      <c r="B12" s="3">
        <v>11</v>
      </c>
      <c r="C12" s="3" t="s">
        <v>37</v>
      </c>
      <c r="D12" s="3" t="s">
        <v>17</v>
      </c>
      <c r="E12" s="3" t="s">
        <v>18</v>
      </c>
      <c r="F12" s="3" t="s">
        <v>38</v>
      </c>
      <c r="G12" s="6">
        <v>5</v>
      </c>
      <c r="H12" s="6">
        <v>160</v>
      </c>
      <c r="I12" s="6">
        <f>IFERROR(Table13467[[#This Row],[Quantity]]*Table13467[[#This Row],[Price Per Unit]],0)</f>
        <v>800</v>
      </c>
    </row>
    <row r="13" spans="1:9" x14ac:dyDescent="0.25">
      <c r="A13" s="2">
        <v>44561</v>
      </c>
      <c r="B13" s="3">
        <v>12</v>
      </c>
      <c r="C13" s="3" t="s">
        <v>39</v>
      </c>
      <c r="D13" s="3" t="s">
        <v>22</v>
      </c>
      <c r="E13" s="3" t="s">
        <v>23</v>
      </c>
      <c r="F13" s="3" t="s">
        <v>40</v>
      </c>
      <c r="G13" s="6">
        <v>20</v>
      </c>
      <c r="H13" s="6">
        <v>45</v>
      </c>
      <c r="I13" s="6">
        <f>IFERROR(Table13467[[#This Row],[Quantity]]*Table13467[[#This Row],[Price Per Unit]],0)</f>
        <v>900</v>
      </c>
    </row>
    <row r="14" spans="1:9" x14ac:dyDescent="0.25">
      <c r="A14" s="2">
        <v>44592</v>
      </c>
      <c r="B14" s="3">
        <v>13</v>
      </c>
      <c r="C14" s="3" t="s">
        <v>41</v>
      </c>
      <c r="D14" s="3" t="s">
        <v>13</v>
      </c>
      <c r="E14" s="3" t="s">
        <v>10</v>
      </c>
      <c r="F14" s="3" t="s">
        <v>42</v>
      </c>
      <c r="G14" s="6">
        <v>0</v>
      </c>
      <c r="H14" s="6"/>
      <c r="I14" s="6">
        <f>IFERROR(Table13467[[#This Row],[Quantity]]*Table13467[[#This Row],[Price Per Unit]],0)</f>
        <v>0</v>
      </c>
    </row>
    <row r="15" spans="1:9" x14ac:dyDescent="0.25">
      <c r="A15" s="2">
        <v>44620</v>
      </c>
      <c r="B15" s="3">
        <v>14</v>
      </c>
      <c r="C15" s="3" t="s">
        <v>43</v>
      </c>
      <c r="D15" s="3" t="s">
        <v>80</v>
      </c>
      <c r="E15" s="3" t="s">
        <v>81</v>
      </c>
      <c r="F15" s="3" t="s">
        <v>44</v>
      </c>
      <c r="G15" s="6">
        <v>30</v>
      </c>
      <c r="H15" s="6">
        <v>36.67</v>
      </c>
      <c r="I15" s="6">
        <f>IFERROR(Table13467[[#This Row],[Quantity]]*Table13467[[#This Row],[Price Per Unit]],0)</f>
        <v>1100.1000000000001</v>
      </c>
    </row>
    <row r="16" spans="1:9" x14ac:dyDescent="0.25">
      <c r="A16" s="2">
        <v>44651</v>
      </c>
      <c r="B16" s="3">
        <v>15</v>
      </c>
      <c r="C16" s="3" t="s">
        <v>45</v>
      </c>
      <c r="D16" s="3" t="s">
        <v>17</v>
      </c>
      <c r="E16" s="3" t="s">
        <v>18</v>
      </c>
      <c r="F16" s="3" t="s">
        <v>46</v>
      </c>
      <c r="G16" s="6">
        <v>35</v>
      </c>
      <c r="H16" s="6">
        <v>34.29</v>
      </c>
      <c r="I16" s="6">
        <f>IFERROR(Table13467[[#This Row],[Quantity]]*Table13467[[#This Row],[Price Per Unit]],0)</f>
        <v>1200.1499999999999</v>
      </c>
    </row>
    <row r="17" spans="1:9" x14ac:dyDescent="0.25">
      <c r="A17" s="2">
        <v>44681</v>
      </c>
      <c r="B17" s="3">
        <v>16</v>
      </c>
      <c r="C17" s="3" t="s">
        <v>47</v>
      </c>
      <c r="D17" s="3" t="s">
        <v>80</v>
      </c>
      <c r="E17" s="3" t="s">
        <v>23</v>
      </c>
      <c r="F17" s="3" t="s">
        <v>48</v>
      </c>
      <c r="G17" s="6">
        <v>0</v>
      </c>
      <c r="H17" s="6"/>
      <c r="I17" s="6">
        <f>IFERROR(Table13467[[#This Row],[Quantity]]*Table13467[[#This Row],[Price Per Unit]],0)</f>
        <v>0</v>
      </c>
    </row>
    <row r="18" spans="1:9" x14ac:dyDescent="0.25">
      <c r="A18" s="2">
        <v>44712</v>
      </c>
      <c r="B18" s="3">
        <v>17</v>
      </c>
      <c r="C18" s="3" t="s">
        <v>49</v>
      </c>
      <c r="D18" s="3" t="s">
        <v>13</v>
      </c>
      <c r="E18" s="3" t="s">
        <v>10</v>
      </c>
      <c r="F18" s="3" t="s">
        <v>50</v>
      </c>
      <c r="G18" s="6">
        <v>40</v>
      </c>
      <c r="H18" s="6">
        <v>35</v>
      </c>
      <c r="I18" s="6">
        <f>IFERROR(Table13467[[#This Row],[Quantity]]*Table13467[[#This Row],[Price Per Unit]],0)</f>
        <v>1400</v>
      </c>
    </row>
    <row r="19" spans="1:9" x14ac:dyDescent="0.25">
      <c r="A19" s="2">
        <v>44742</v>
      </c>
      <c r="B19" s="3">
        <v>18</v>
      </c>
      <c r="C19" s="3" t="s">
        <v>51</v>
      </c>
      <c r="D19" s="3" t="s">
        <v>9</v>
      </c>
      <c r="E19" s="3" t="s">
        <v>81</v>
      </c>
      <c r="F19" s="3" t="s">
        <v>52</v>
      </c>
      <c r="G19" s="6">
        <v>45</v>
      </c>
      <c r="H19" s="6">
        <v>33.33</v>
      </c>
      <c r="I19" s="6">
        <f>IFERROR(Table13467[[#This Row],[Quantity]]*Table13467[[#This Row],[Price Per Unit]],0)</f>
        <v>1499.85</v>
      </c>
    </row>
    <row r="20" spans="1:9" x14ac:dyDescent="0.25">
      <c r="A20" s="2">
        <v>44773</v>
      </c>
      <c r="B20" s="3">
        <v>19</v>
      </c>
      <c r="C20" s="3" t="s">
        <v>53</v>
      </c>
      <c r="D20" s="3" t="s">
        <v>17</v>
      </c>
      <c r="E20" s="3" t="s">
        <v>18</v>
      </c>
      <c r="F20" s="3" t="s">
        <v>54</v>
      </c>
      <c r="G20" s="6">
        <v>50</v>
      </c>
      <c r="H20" s="6">
        <v>32</v>
      </c>
      <c r="I20" s="6">
        <f>IFERROR(Table13467[[#This Row],[Quantity]]*Table13467[[#This Row],[Price Per Unit]],0)</f>
        <v>1600</v>
      </c>
    </row>
    <row r="21" spans="1:9" x14ac:dyDescent="0.25">
      <c r="A21" s="2">
        <v>44804</v>
      </c>
      <c r="B21" s="3">
        <v>20</v>
      </c>
      <c r="C21" s="3" t="s">
        <v>55</v>
      </c>
      <c r="D21" s="3" t="s">
        <v>22</v>
      </c>
      <c r="E21" s="3" t="s">
        <v>23</v>
      </c>
      <c r="F21" s="3" t="s">
        <v>56</v>
      </c>
      <c r="G21" s="6">
        <v>55</v>
      </c>
      <c r="H21" s="6">
        <v>30.91</v>
      </c>
      <c r="I21" s="6">
        <f>IFERROR(Table13467[[#This Row],[Quantity]]*Table13467[[#This Row],[Price Per Unit]],0)</f>
        <v>1700.05</v>
      </c>
    </row>
    <row r="22" spans="1:9" x14ac:dyDescent="0.25">
      <c r="A22" s="2">
        <v>44834</v>
      </c>
      <c r="B22" s="3">
        <v>21</v>
      </c>
      <c r="C22" s="3" t="s">
        <v>57</v>
      </c>
      <c r="D22" s="3" t="s">
        <v>13</v>
      </c>
      <c r="E22" s="3" t="s">
        <v>10</v>
      </c>
      <c r="F22" s="3" t="s">
        <v>58</v>
      </c>
      <c r="G22" s="6">
        <v>60</v>
      </c>
      <c r="H22" s="6">
        <v>30</v>
      </c>
      <c r="I22" s="6">
        <f>IFERROR(Table13467[[#This Row],[Quantity]]*Table13467[[#This Row],[Price Per Unit]],0)</f>
        <v>1800</v>
      </c>
    </row>
    <row r="23" spans="1:9" x14ac:dyDescent="0.25">
      <c r="A23" s="2">
        <v>44865</v>
      </c>
      <c r="B23" s="3">
        <v>22</v>
      </c>
      <c r="C23" s="3" t="s">
        <v>59</v>
      </c>
      <c r="D23" s="3" t="s">
        <v>9</v>
      </c>
      <c r="E23" s="3" t="s">
        <v>81</v>
      </c>
      <c r="F23" s="3" t="s">
        <v>60</v>
      </c>
      <c r="G23" s="6">
        <v>0</v>
      </c>
      <c r="H23" s="6"/>
      <c r="I23" s="6">
        <f>IFERROR(Table13467[[#This Row],[Quantity]]*Table13467[[#This Row],[Price Per Unit]],0)</f>
        <v>0</v>
      </c>
    </row>
    <row r="24" spans="1:9" x14ac:dyDescent="0.25">
      <c r="A24" s="2">
        <v>44895</v>
      </c>
      <c r="B24" s="3">
        <v>23</v>
      </c>
      <c r="C24" s="3" t="s">
        <v>61</v>
      </c>
      <c r="D24" s="3" t="s">
        <v>17</v>
      </c>
      <c r="E24" s="3" t="s">
        <v>18</v>
      </c>
      <c r="F24" s="3" t="s">
        <v>62</v>
      </c>
      <c r="G24" s="6">
        <v>65</v>
      </c>
      <c r="H24" s="6">
        <v>30.77</v>
      </c>
      <c r="I24" s="6">
        <f>IFERROR(Table13467[[#This Row],[Quantity]]*Table13467[[#This Row],[Price Per Unit]],0)</f>
        <v>2000.05</v>
      </c>
    </row>
    <row r="25" spans="1:9" x14ac:dyDescent="0.25">
      <c r="A25" s="2">
        <v>44926</v>
      </c>
      <c r="B25" s="3">
        <v>24</v>
      </c>
      <c r="C25" s="3" t="s">
        <v>63</v>
      </c>
      <c r="D25" s="3" t="s">
        <v>22</v>
      </c>
      <c r="E25" s="3" t="s">
        <v>23</v>
      </c>
      <c r="F25" s="3" t="s">
        <v>64</v>
      </c>
      <c r="G25" s="6">
        <v>70</v>
      </c>
      <c r="H25" s="6">
        <v>30</v>
      </c>
      <c r="I25" s="6">
        <f>IFERROR(Table13467[[#This Row],[Quantity]]*Table13467[[#This Row],[Price Per Unit]],0)</f>
        <v>2100</v>
      </c>
    </row>
    <row r="26" spans="1:9" x14ac:dyDescent="0.25">
      <c r="A26" s="2">
        <v>44957</v>
      </c>
      <c r="B26" s="3">
        <v>25</v>
      </c>
      <c r="C26" s="3" t="s">
        <v>65</v>
      </c>
      <c r="D26" s="3" t="s">
        <v>66</v>
      </c>
      <c r="E26" s="3" t="s">
        <v>67</v>
      </c>
      <c r="F26" s="3" t="s">
        <v>68</v>
      </c>
      <c r="G26" s="6">
        <v>75</v>
      </c>
      <c r="H26" s="6">
        <v>29.33</v>
      </c>
      <c r="I26" s="6">
        <f>IFERROR(Table13467[[#This Row],[Quantity]]*Table13467[[#This Row],[Price Per Unit]],0)</f>
        <v>2199.75</v>
      </c>
    </row>
    <row r="27" spans="1:9" x14ac:dyDescent="0.25">
      <c r="A27" s="2">
        <v>44985</v>
      </c>
      <c r="B27" s="3">
        <v>26</v>
      </c>
      <c r="C27" s="3" t="s">
        <v>69</v>
      </c>
      <c r="D27" s="3" t="s">
        <v>66</v>
      </c>
      <c r="E27" s="3" t="s">
        <v>70</v>
      </c>
      <c r="F27" s="3" t="s">
        <v>71</v>
      </c>
      <c r="G27" s="6">
        <v>80</v>
      </c>
      <c r="H27" s="6">
        <v>28.75</v>
      </c>
      <c r="I27" s="6">
        <f>IFERROR(Table13467[[#This Row],[Quantity]]*Table13467[[#This Row],[Price Per Unit]],0)</f>
        <v>2300</v>
      </c>
    </row>
    <row r="28" spans="1:9" x14ac:dyDescent="0.25">
      <c r="A28" s="2">
        <v>45016</v>
      </c>
      <c r="B28" s="3">
        <v>27</v>
      </c>
      <c r="C28" s="3" t="s">
        <v>41</v>
      </c>
      <c r="D28" s="3" t="s">
        <v>13</v>
      </c>
      <c r="E28" s="3" t="s">
        <v>72</v>
      </c>
      <c r="F28" s="3" t="s">
        <v>73</v>
      </c>
      <c r="G28" s="6">
        <v>0</v>
      </c>
      <c r="H28" s="6"/>
      <c r="I28" s="6">
        <f>IFERROR(Table13467[[#This Row],[Quantity]]*Table13467[[#This Row],[Price Per Unit]],0)</f>
        <v>0</v>
      </c>
    </row>
    <row r="29" spans="1:9" x14ac:dyDescent="0.25">
      <c r="A29" s="2">
        <v>45046</v>
      </c>
      <c r="B29" s="3">
        <v>28</v>
      </c>
      <c r="C29" s="3" t="s">
        <v>39</v>
      </c>
      <c r="D29" s="3" t="s">
        <v>22</v>
      </c>
      <c r="E29" s="3" t="s">
        <v>74</v>
      </c>
      <c r="F29" s="3" t="s">
        <v>75</v>
      </c>
      <c r="G29" s="6">
        <v>85</v>
      </c>
      <c r="H29" s="6">
        <v>29.41</v>
      </c>
      <c r="I29" s="6">
        <f>IFERROR(Table13467[[#This Row],[Quantity]]*Table13467[[#This Row],[Price Per Unit]],0)</f>
        <v>2499.85</v>
      </c>
    </row>
    <row r="30" spans="1:9" x14ac:dyDescent="0.25">
      <c r="A30" s="3" t="s">
        <v>82</v>
      </c>
      <c r="B30" s="3"/>
      <c r="C30" s="3"/>
      <c r="D30" s="3"/>
      <c r="E30" s="3"/>
      <c r="F30" s="3"/>
      <c r="G30" s="5">
        <f>SUBTOTAL(109,Table13467[Quantity])</f>
        <v>965</v>
      </c>
      <c r="H30" s="5">
        <f>SUBTOTAL(105,Table13467[Price Per Unit])</f>
        <v>10</v>
      </c>
      <c r="I30" s="3">
        <f>SUBTOTAL(103,Table13467[Sales])</f>
        <v>28</v>
      </c>
    </row>
  </sheetData>
  <conditionalFormatting sqref="B2:B29">
    <cfRule type="duplicateValues" dxfId="40" priority="1"/>
  </conditionalFormatting>
  <dataValidations count="1">
    <dataValidation type="list" allowBlank="1" showInputMessage="1" showErrorMessage="1" sqref="D2:D29" xr:uid="{534801C0-23FE-4ABE-8E43-F164EA1F6AFB}">
      <formula1>"North, South, East, West, Asgard, TBA"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BDDA-63A7-46C5-AAB2-4F8C1DECEC1E}">
  <dimension ref="B1:W71"/>
  <sheetViews>
    <sheetView showGridLines="0" tabSelected="1" topLeftCell="A12" zoomScaleNormal="100" workbookViewId="0">
      <selection activeCell="H38" sqref="H38"/>
    </sheetView>
  </sheetViews>
  <sheetFormatPr defaultRowHeight="15" x14ac:dyDescent="0.25"/>
  <cols>
    <col min="1" max="1" width="23.85546875" bestFit="1" customWidth="1"/>
    <col min="2" max="2" width="29.42578125" bestFit="1" customWidth="1"/>
    <col min="3" max="3" width="32.140625" bestFit="1" customWidth="1"/>
    <col min="6" max="6" width="14.5703125" bestFit="1" customWidth="1"/>
    <col min="7" max="7" width="19.140625" bestFit="1" customWidth="1"/>
    <col min="8" max="8" width="90.42578125" bestFit="1" customWidth="1"/>
    <col min="9" max="9" width="9.5703125" customWidth="1"/>
    <col min="18" max="18" width="10.42578125" bestFit="1" customWidth="1"/>
    <col min="19" max="19" width="10.5703125" bestFit="1" customWidth="1"/>
    <col min="21" max="21" width="10.5703125" customWidth="1"/>
  </cols>
  <sheetData>
    <row r="1" spans="8:8" s="12" customFormat="1" ht="90" customHeight="1" x14ac:dyDescent="0.25"/>
    <row r="7" spans="8:8" x14ac:dyDescent="0.25">
      <c r="H7" t="s">
        <v>120</v>
      </c>
    </row>
    <row r="8" spans="8:8" x14ac:dyDescent="0.25">
      <c r="H8" s="8">
        <v>26399.8</v>
      </c>
    </row>
    <row r="19" spans="8:23" ht="15.75" thickBot="1" x14ac:dyDescent="0.3"/>
    <row r="20" spans="8:23" ht="21.75" thickBot="1" x14ac:dyDescent="0.4">
      <c r="H20" s="13" t="s">
        <v>124</v>
      </c>
    </row>
    <row r="21" spans="8:23" ht="18.75" x14ac:dyDescent="0.3">
      <c r="H21" s="14" t="s">
        <v>127</v>
      </c>
    </row>
    <row r="22" spans="8:23" ht="18.75" x14ac:dyDescent="0.3">
      <c r="H22" s="14"/>
      <c r="T22" s="11"/>
      <c r="U22" s="11"/>
      <c r="V22" s="11"/>
      <c r="W22" s="11"/>
    </row>
    <row r="23" spans="8:23" ht="18.75" x14ac:dyDescent="0.3">
      <c r="H23" s="14" t="s">
        <v>128</v>
      </c>
      <c r="T23" s="11"/>
      <c r="U23" s="11"/>
      <c r="V23" s="11"/>
      <c r="W23" s="11"/>
    </row>
    <row r="24" spans="8:23" ht="18.75" x14ac:dyDescent="0.3">
      <c r="H24" s="14"/>
      <c r="T24" s="11"/>
      <c r="U24" s="11"/>
      <c r="V24" s="11"/>
      <c r="W24" s="11"/>
    </row>
    <row r="25" spans="8:23" ht="18.75" x14ac:dyDescent="0.3">
      <c r="H25" s="14" t="s">
        <v>129</v>
      </c>
      <c r="T25" s="11"/>
      <c r="U25" s="11"/>
      <c r="V25" s="11"/>
      <c r="W25" s="11"/>
    </row>
    <row r="26" spans="8:23" ht="19.5" thickBot="1" x14ac:dyDescent="0.35">
      <c r="H26" s="15"/>
      <c r="T26" s="11"/>
      <c r="U26" s="11"/>
      <c r="V26" s="11"/>
      <c r="W26" s="11"/>
    </row>
    <row r="42" spans="2:7" ht="15.75" x14ac:dyDescent="0.25">
      <c r="B42" s="17" t="s">
        <v>5</v>
      </c>
      <c r="C42" s="18" t="s">
        <v>126</v>
      </c>
      <c r="F42" s="17" t="s">
        <v>3</v>
      </c>
      <c r="G42" s="18" t="s">
        <v>125</v>
      </c>
    </row>
    <row r="43" spans="2:7" ht="15.75" x14ac:dyDescent="0.25">
      <c r="B43" s="19" t="s">
        <v>48</v>
      </c>
      <c r="C43" s="20">
        <v>0</v>
      </c>
      <c r="F43" s="19" t="s">
        <v>66</v>
      </c>
      <c r="G43" s="20">
        <v>4499.75</v>
      </c>
    </row>
    <row r="44" spans="2:7" ht="15.75" x14ac:dyDescent="0.25">
      <c r="B44" s="19" t="s">
        <v>54</v>
      </c>
      <c r="C44" s="20">
        <v>50</v>
      </c>
      <c r="F44" s="19" t="s">
        <v>13</v>
      </c>
      <c r="G44" s="20">
        <v>4400</v>
      </c>
    </row>
    <row r="45" spans="2:7" ht="15.75" x14ac:dyDescent="0.25">
      <c r="B45" s="19" t="s">
        <v>52</v>
      </c>
      <c r="C45" s="20">
        <v>45</v>
      </c>
      <c r="F45" s="19" t="s">
        <v>9</v>
      </c>
      <c r="G45" s="20">
        <v>2399.85</v>
      </c>
    </row>
    <row r="46" spans="2:7" ht="15.75" x14ac:dyDescent="0.25">
      <c r="B46" s="19" t="s">
        <v>26</v>
      </c>
      <c r="C46" s="20">
        <v>30</v>
      </c>
      <c r="F46" s="19" t="s">
        <v>22</v>
      </c>
      <c r="G46" s="20">
        <v>8049.9</v>
      </c>
    </row>
    <row r="47" spans="2:7" ht="15.75" x14ac:dyDescent="0.25">
      <c r="B47" s="19" t="s">
        <v>32</v>
      </c>
      <c r="C47" s="20">
        <v>40</v>
      </c>
      <c r="F47" s="19" t="s">
        <v>80</v>
      </c>
      <c r="G47" s="20">
        <v>1100.1000000000001</v>
      </c>
    </row>
    <row r="48" spans="2:7" ht="15.75" x14ac:dyDescent="0.25">
      <c r="B48" s="19" t="s">
        <v>42</v>
      </c>
      <c r="C48" s="20">
        <v>0</v>
      </c>
      <c r="F48" s="19" t="s">
        <v>17</v>
      </c>
      <c r="G48" s="20">
        <v>5950.2</v>
      </c>
    </row>
    <row r="49" spans="2:7" ht="15.75" x14ac:dyDescent="0.25">
      <c r="B49" s="19" t="s">
        <v>19</v>
      </c>
      <c r="C49" s="20">
        <v>0</v>
      </c>
      <c r="F49" s="19" t="s">
        <v>119</v>
      </c>
      <c r="G49" s="20">
        <v>26399.8</v>
      </c>
    </row>
    <row r="50" spans="2:7" ht="15.75" x14ac:dyDescent="0.25">
      <c r="B50" s="19" t="s">
        <v>40</v>
      </c>
      <c r="C50" s="20">
        <v>20</v>
      </c>
    </row>
    <row r="51" spans="2:7" ht="15.75" x14ac:dyDescent="0.25">
      <c r="B51" s="19" t="s">
        <v>58</v>
      </c>
      <c r="C51" s="20">
        <v>60</v>
      </c>
    </row>
    <row r="52" spans="2:7" ht="15.75" x14ac:dyDescent="0.25">
      <c r="B52" s="19" t="s">
        <v>60</v>
      </c>
      <c r="C52" s="20">
        <v>0</v>
      </c>
    </row>
    <row r="53" spans="2:7" ht="15.75" x14ac:dyDescent="0.25">
      <c r="B53" s="19" t="s">
        <v>46</v>
      </c>
      <c r="C53" s="20">
        <v>35</v>
      </c>
    </row>
    <row r="54" spans="2:7" ht="15.75" x14ac:dyDescent="0.25">
      <c r="B54" s="19" t="s">
        <v>24</v>
      </c>
      <c r="C54" s="20">
        <v>25</v>
      </c>
    </row>
    <row r="55" spans="2:7" ht="15.75" x14ac:dyDescent="0.25">
      <c r="B55" s="19" t="s">
        <v>44</v>
      </c>
      <c r="C55" s="20">
        <v>30</v>
      </c>
    </row>
    <row r="56" spans="2:7" ht="15.75" x14ac:dyDescent="0.25">
      <c r="B56" s="19" t="s">
        <v>34</v>
      </c>
      <c r="C56" s="20">
        <v>45</v>
      </c>
    </row>
    <row r="57" spans="2:7" ht="15.75" x14ac:dyDescent="0.25">
      <c r="B57" s="19" t="s">
        <v>38</v>
      </c>
      <c r="C57" s="20">
        <v>5</v>
      </c>
    </row>
    <row r="58" spans="2:7" ht="15.75" x14ac:dyDescent="0.25">
      <c r="B58" s="19" t="s">
        <v>36</v>
      </c>
      <c r="C58" s="20">
        <v>50</v>
      </c>
    </row>
    <row r="59" spans="2:7" ht="15.75" x14ac:dyDescent="0.25">
      <c r="B59" s="19" t="s">
        <v>75</v>
      </c>
      <c r="C59" s="20">
        <v>85</v>
      </c>
    </row>
    <row r="60" spans="2:7" ht="15.75" x14ac:dyDescent="0.25">
      <c r="B60" s="19" t="s">
        <v>11</v>
      </c>
      <c r="C60" s="20">
        <v>10</v>
      </c>
    </row>
    <row r="61" spans="2:7" ht="15.75" x14ac:dyDescent="0.25">
      <c r="B61" s="19" t="s">
        <v>71</v>
      </c>
      <c r="C61" s="20">
        <v>80</v>
      </c>
    </row>
    <row r="62" spans="2:7" ht="15.75" x14ac:dyDescent="0.25">
      <c r="B62" s="19" t="s">
        <v>62</v>
      </c>
      <c r="C62" s="20">
        <v>65</v>
      </c>
    </row>
    <row r="63" spans="2:7" ht="15.75" x14ac:dyDescent="0.25">
      <c r="B63" s="19" t="s">
        <v>64</v>
      </c>
      <c r="C63" s="20">
        <v>70</v>
      </c>
    </row>
    <row r="64" spans="2:7" ht="15.75" x14ac:dyDescent="0.25">
      <c r="B64" s="19" t="s">
        <v>30</v>
      </c>
      <c r="C64" s="20">
        <v>35</v>
      </c>
    </row>
    <row r="65" spans="2:3" ht="15.75" x14ac:dyDescent="0.25">
      <c r="B65" s="19" t="s">
        <v>73</v>
      </c>
      <c r="C65" s="20">
        <v>0</v>
      </c>
    </row>
    <row r="66" spans="2:3" ht="15.75" x14ac:dyDescent="0.25">
      <c r="B66" s="19" t="s">
        <v>68</v>
      </c>
      <c r="C66" s="20">
        <v>75</v>
      </c>
    </row>
    <row r="67" spans="2:3" ht="15.75" x14ac:dyDescent="0.25">
      <c r="B67" s="19" t="s">
        <v>15</v>
      </c>
      <c r="C67" s="20">
        <v>15</v>
      </c>
    </row>
    <row r="68" spans="2:3" ht="15.75" x14ac:dyDescent="0.25">
      <c r="B68" s="19" t="s">
        <v>50</v>
      </c>
      <c r="C68" s="20">
        <v>40</v>
      </c>
    </row>
    <row r="69" spans="2:3" ht="15.75" x14ac:dyDescent="0.25">
      <c r="B69" s="19" t="s">
        <v>56</v>
      </c>
      <c r="C69" s="20">
        <v>55</v>
      </c>
    </row>
    <row r="70" spans="2:3" ht="15.75" x14ac:dyDescent="0.25">
      <c r="B70" s="19" t="s">
        <v>28</v>
      </c>
      <c r="C70" s="20">
        <v>0</v>
      </c>
    </row>
    <row r="71" spans="2:3" ht="15.75" x14ac:dyDescent="0.25">
      <c r="B71" s="19" t="s">
        <v>119</v>
      </c>
      <c r="C71" s="20">
        <v>965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4ec5a1a-e29c-407e-9660-cb4eaaff03ab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A9E49C56486844AEA3493470A3BA7F" ma:contentTypeVersion="18" ma:contentTypeDescription="Create a new document." ma:contentTypeScope="" ma:versionID="e113dd8c6d9d6d8e50c33cd355eeb814">
  <xsd:schema xmlns:xsd="http://www.w3.org/2001/XMLSchema" xmlns:xs="http://www.w3.org/2001/XMLSchema" xmlns:p="http://schemas.microsoft.com/office/2006/metadata/properties" xmlns:ns3="04ec5a1a-e29c-407e-9660-cb4eaaff03ab" xmlns:ns4="98587d8b-32ff-4694-8d3a-6f66eb643b0d" targetNamespace="http://schemas.microsoft.com/office/2006/metadata/properties" ma:root="true" ma:fieldsID="654ccc4b072c8ba42f6f064ab7b3a12b" ns3:_="" ns4:_="">
    <xsd:import namespace="04ec5a1a-e29c-407e-9660-cb4eaaff03ab"/>
    <xsd:import namespace="98587d8b-32ff-4694-8d3a-6f66eb643b0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c5a1a-e29c-407e-9660-cb4eaaff0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87d8b-32ff-4694-8d3a-6f66eb643b0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14EA0-1B09-4BA6-A1E0-FED8521C2B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00B319-165B-4AE8-A6AE-EED707A1FDFE}">
  <ds:schemaRefs>
    <ds:schemaRef ds:uri="http://schemas.microsoft.com/office/2006/metadata/properties"/>
    <ds:schemaRef ds:uri="http://schemas.microsoft.com/office/infopath/2007/PartnerControls"/>
    <ds:schemaRef ds:uri="04ec5a1a-e29c-407e-9660-cb4eaaff03ab"/>
  </ds:schemaRefs>
</ds:datastoreItem>
</file>

<file path=customXml/itemProps3.xml><?xml version="1.0" encoding="utf-8"?>
<ds:datastoreItem xmlns:ds="http://schemas.openxmlformats.org/officeDocument/2006/customXml" ds:itemID="{84B241E6-AE4C-4EA5-96CC-6E77ABF1BB4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8184B4C1-4F0A-455C-A4C4-43B4C034F9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ec5a1a-e29c-407e-9660-cb4eaaff03ab"/>
    <ds:schemaRef ds:uri="98587d8b-32ff-4694-8d3a-6f66eb643b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01. Raw_Data</vt:lpstr>
      <vt:lpstr>02. Data_Cleaning_Process</vt:lpstr>
      <vt:lpstr>03. Cleaned_Data</vt:lpstr>
      <vt:lpstr>04. 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Mynda Treacy</dc:creator>
  <cp:keywords/>
  <dc:description/>
  <cp:lastModifiedBy>Prabha rajasekaran</cp:lastModifiedBy>
  <cp:revision/>
  <dcterms:created xsi:type="dcterms:W3CDTF">2019-12-23T04:48:23Z</dcterms:created>
  <dcterms:modified xsi:type="dcterms:W3CDTF">2026-02-26T13:12:29Z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0x01010076A9E49C56486844AEA3493470A3BA7F</vt:lpwstr>
  </property>
</Properties>
</file>